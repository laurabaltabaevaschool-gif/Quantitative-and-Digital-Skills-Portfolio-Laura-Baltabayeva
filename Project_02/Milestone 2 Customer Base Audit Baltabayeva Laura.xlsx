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<sst xmlns="http://schemas.openxmlformats.org/spreadsheetml/2006/main" count="92" uniqueCount="26">
  <si>
    <t>Q3 2021</t>
  </si>
  <si>
    <t>Q4 2021</t>
  </si>
  <si>
    <t>Q4 2022</t>
  </si>
  <si>
    <t>Quarter</t>
  </si>
  <si>
    <t># Customers</t>
  </si>
  <si>
    <t>Total Transactions</t>
  </si>
  <si>
    <t>Revenue</t>
  </si>
  <si>
    <t>Profit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</si>
  <si>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</si>
  <si>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</si>
  <si>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</si>
  <si>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</si>
  <si>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</si>
  <si>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</si>
  <si>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</si>
  <si>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</si>
  <si>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</si>
  <si>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</si>
  <si>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</si>
  <si>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</si>
  <si>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</si>
  <si>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</si>
  <si>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% active</t>
  </si>
  <si>
    <t>Avg spend/active customer</t>
  </si>
  <si>
    <t>AOF</t>
  </si>
  <si>
    <t>AOV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</si>
</sst>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??_);_(@_)"/>
    <numFmt numFmtId="165" formatCode="0.0"/>
    <numFmt numFmtId="166" formatCode="_(* #,##0.0_);_(* \(#,##0.0\);_(* &quot;-&quot;??_);_(@_)"/>
  </numFmts>
  <fonts count="7">
    <font>
      <sz val="10.0"/>
      <color rgb="FF000000"/>
      <name val="Arial"/>
      <scheme val="minor"/>
    </font>
    <font>
      <sz val="14.0"/>
      <color rgb="FF0070C0"/>
      <name val="Calibri"/>
    </font>
    <font>
      <color theme="1"/>
      <name val="Arial"/>
    </font>
    <font>
      <b/>
      <sz val="11.0"/>
      <color rgb="FFC00000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9">
    <border/>
    <border>
      <left/>
      <right/>
      <top/>
      <bottom/>
    </border>
    <border>
      <left/>
      <right/>
      <top/>
      <bottom style="double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2" numFmtId="4" xfId="0" applyAlignment="1" applyFont="1" applyNumberFormat="1">
      <alignment vertical="bottom"/>
    </xf>
    <xf borderId="1" fillId="2" fontId="4" numFmtId="0" xfId="0" applyAlignment="1" applyBorder="1" applyFill="1" applyFont="1">
      <alignment horizontal="right" shrinkToFit="0" vertical="bottom" wrapText="1"/>
    </xf>
    <xf borderId="1" fillId="2" fontId="4" numFmtId="4" xfId="0" applyAlignment="1" applyBorder="1" applyFont="1" applyNumberFormat="1">
      <alignment horizontal="right" shrinkToFit="0" vertical="bottom" wrapText="1"/>
    </xf>
    <xf borderId="1" fillId="2" fontId="4" numFmtId="0" xfId="0" applyAlignment="1" applyBorder="1" applyFont="1">
      <alignment horizontal="right" vertical="bottom"/>
    </xf>
    <xf borderId="1" fillId="2" fontId="4" numFmtId="3" xfId="0" applyAlignment="1" applyBorder="1" applyFont="1" applyNumberFormat="1">
      <alignment horizontal="right" vertical="bottom"/>
    </xf>
    <xf borderId="1" fillId="2" fontId="4" numFmtId="4" xfId="0" applyAlignment="1" applyBorder="1" applyFont="1" applyNumberFormat="1">
      <alignment horizontal="right" vertical="bottom"/>
    </xf>
    <xf borderId="1" fillId="2" fontId="2" numFmtId="0" xfId="0" applyAlignment="1" applyBorder="1" applyFont="1">
      <alignment vertical="bottom"/>
    </xf>
    <xf borderId="1" fillId="2" fontId="2" numFmtId="3" xfId="0" applyAlignment="1" applyBorder="1" applyFont="1" applyNumberFormat="1">
      <alignment vertical="bottom"/>
    </xf>
    <xf borderId="2" fillId="2" fontId="4" numFmtId="0" xfId="0" applyAlignment="1" applyBorder="1" applyFont="1">
      <alignment horizontal="right" vertical="bottom"/>
    </xf>
    <xf borderId="2" fillId="2" fontId="4" numFmtId="3" xfId="0" applyAlignment="1" applyBorder="1" applyFont="1" applyNumberFormat="1">
      <alignment horizontal="right" vertical="bottom"/>
    </xf>
    <xf borderId="2" fillId="2" fontId="4" numFmtId="4" xfId="0" applyAlignment="1" applyBorder="1" applyFont="1" applyNumberFormat="1">
      <alignment horizontal="right"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4" numFmtId="0" xfId="0" applyAlignment="1" applyBorder="1" applyFont="1">
      <alignment shrinkToFit="0" vertical="bottom" wrapText="1"/>
    </xf>
    <xf borderId="8" fillId="0" fontId="4" numFmtId="0" xfId="0" applyAlignment="1" applyBorder="1" applyFont="1">
      <alignment horizontal="right" vertical="bottom"/>
    </xf>
    <xf borderId="8" fillId="0" fontId="4" numFmtId="164" xfId="0" applyAlignment="1" applyBorder="1" applyFont="1" applyNumberFormat="1">
      <alignment horizontal="right" vertical="bottom"/>
    </xf>
    <xf borderId="8" fillId="0" fontId="4" numFmtId="9" xfId="0" applyAlignment="1" applyBorder="1" applyFont="1" applyNumberFormat="1">
      <alignment horizontal="right" vertical="bottom"/>
    </xf>
    <xf borderId="8" fillId="0" fontId="4" numFmtId="1" xfId="0" applyAlignment="1" applyBorder="1" applyFont="1" applyNumberFormat="1">
      <alignment horizontal="right" vertical="bottom"/>
    </xf>
    <xf borderId="8" fillId="0" fontId="4" numFmtId="165" xfId="0" applyAlignment="1" applyBorder="1" applyFont="1" applyNumberFormat="1">
      <alignment horizontal="right" vertical="bottom"/>
    </xf>
    <xf borderId="8" fillId="0" fontId="2" numFmtId="0" xfId="0" applyAlignment="1" applyBorder="1" applyFont="1">
      <alignment vertical="bottom"/>
    </xf>
    <xf borderId="8" fillId="0" fontId="2" numFmtId="166" xfId="0" applyAlignment="1" applyBorder="1" applyFont="1" applyNumberFormat="1">
      <alignment vertical="bottom"/>
    </xf>
    <xf borderId="8" fillId="0" fontId="2" numFmtId="164" xfId="0" applyAlignment="1" applyBorder="1" applyFont="1" applyNumberFormat="1">
      <alignment vertical="bottom"/>
    </xf>
    <xf borderId="8" fillId="0" fontId="2" numFmtId="9" xfId="0" applyAlignment="1" applyBorder="1" applyFont="1" applyNumberFormat="1">
      <alignment vertical="bottom"/>
    </xf>
    <xf borderId="8" fillId="0" fontId="2" numFmtId="165" xfId="0" applyAlignment="1" applyBorder="1" applyFont="1" applyNumberFormat="1">
      <alignment vertical="bottom"/>
    </xf>
    <xf borderId="8" fillId="0" fontId="5" numFmtId="0" xfId="0" applyAlignment="1" applyBorder="1" applyFont="1">
      <alignment horizontal="right" readingOrder="0" vertical="bottom"/>
    </xf>
    <xf borderId="8" fillId="0" fontId="4" numFmtId="0" xfId="0" applyAlignment="1" applyBorder="1" applyFont="1">
      <alignment horizontal="center" vertical="bottom"/>
    </xf>
    <xf borderId="8" fillId="0" fontId="2" numFmtId="1" xfId="0" applyAlignment="1" applyBorder="1" applyFont="1" applyNumberFormat="1">
      <alignment vertical="bottom"/>
    </xf>
    <xf borderId="8" fillId="0" fontId="6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sheet1!$B$22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sheet1!$A$23:$A$37</c:f>
            </c:strRef>
          </c:cat>
          <c:val>
            <c:numRef>
              <c:f>sheet1!$B$23:$B$37</c:f>
              <c:numCache/>
            </c:numRef>
          </c:val>
          <c:smooth val="0"/>
        </c:ser>
        <c:ser>
          <c:idx val="1"/>
          <c:order val="1"/>
          <c:tx>
            <c:strRef>
              <c:f>sheet1!$C$22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sheet1!$A$23:$A$37</c:f>
            </c:strRef>
          </c:cat>
          <c:val>
            <c:numRef>
              <c:f>sheet1!$C$23:$C$37</c:f>
              <c:numCache/>
            </c:numRef>
          </c:val>
          <c:smooth val="0"/>
        </c:ser>
        <c:ser>
          <c:idx val="2"/>
          <c:order val="2"/>
          <c:tx>
            <c:strRef>
              <c:f>sheet1!$D$22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sheet1!$A$23:$A$37</c:f>
            </c:strRef>
          </c:cat>
          <c:val>
            <c:numRef>
              <c:f>sheet1!$D$23:$D$37</c:f>
              <c:numCache/>
            </c:numRef>
          </c:val>
          <c:smooth val="0"/>
        </c:ser>
        <c:ser>
          <c:idx val="3"/>
          <c:order val="3"/>
          <c:tx>
            <c:strRef>
              <c:f>sheet1!$E$22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sheet1!$A$23:$A$37</c:f>
            </c:strRef>
          </c:cat>
          <c:val>
            <c:numRef>
              <c:f>sheet1!$E$23:$E$37</c:f>
              <c:numCache/>
            </c:numRef>
          </c:val>
          <c:smooth val="0"/>
        </c:ser>
        <c:ser>
          <c:idx val="4"/>
          <c:order val="4"/>
          <c:tx>
            <c:strRef>
              <c:f>sheet1!$F$22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sheet1!$A$23:$A$37</c:f>
            </c:strRef>
          </c:cat>
          <c:val>
            <c:numRef>
              <c:f>sheet1!$F$23:$F$37</c:f>
              <c:numCache/>
            </c:numRef>
          </c:val>
          <c:smooth val="0"/>
        </c:ser>
        <c:ser>
          <c:idx val="5"/>
          <c:order val="5"/>
          <c:tx>
            <c:strRef>
              <c:f>sheet1!$G$22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sheet1!$A$23:$A$37</c:f>
            </c:strRef>
          </c:cat>
          <c:val>
            <c:numRef>
              <c:f>sheet1!$G$23:$G$37</c:f>
              <c:numCache/>
            </c:numRef>
          </c:val>
          <c:smooth val="0"/>
        </c:ser>
        <c:ser>
          <c:idx val="6"/>
          <c:order val="6"/>
          <c:tx>
            <c:strRef>
              <c:f>sheet1!$H$22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sheet1!$A$23:$A$37</c:f>
            </c:strRef>
          </c:cat>
          <c:val>
            <c:numRef>
              <c:f>sheet1!$H$23:$H$37</c:f>
              <c:numCache/>
            </c:numRef>
          </c:val>
          <c:smooth val="0"/>
        </c:ser>
        <c:ser>
          <c:idx val="7"/>
          <c:order val="7"/>
          <c:tx>
            <c:strRef>
              <c:f>sheet1!$I$22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sheet1!$A$23:$A$37</c:f>
            </c:strRef>
          </c:cat>
          <c:val>
            <c:numRef>
              <c:f>sheet1!$I$23:$I$37</c:f>
              <c:numCache/>
            </c:numRef>
          </c:val>
          <c:smooth val="0"/>
        </c:ser>
        <c:axId val="1716704452"/>
        <c:axId val="2002684025"/>
      </c:lineChart>
      <c:catAx>
        <c:axId val="17167044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2684025"/>
      </c:catAx>
      <c:valAx>
        <c:axId val="20026840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67044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sheet1!$K$21:$K$36</c:f>
            </c:strRef>
          </c:cat>
          <c:val>
            <c:numRef>
              <c:f>sheet1!$L$21:$L$36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sheet1!$K$21:$K$36</c:f>
            </c:strRef>
          </c:cat>
          <c:val>
            <c:numRef>
              <c:f>sheet1!$M$21:$M$36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sheet1!$K$21:$K$36</c:f>
            </c:strRef>
          </c:cat>
          <c:val>
            <c:numRef>
              <c:f>sheet1!$N$21:$N$36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sheet1!$K$21:$K$36</c:f>
            </c:strRef>
          </c:cat>
          <c:val>
            <c:numRef>
              <c:f>sheet1!$O$21:$O$36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sheet1!$K$21:$K$36</c:f>
            </c:strRef>
          </c:cat>
          <c:val>
            <c:numRef>
              <c:f>sheet1!$P$21:$P$36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sheet1!$K$21:$K$36</c:f>
            </c:strRef>
          </c:cat>
          <c:val>
            <c:numRef>
              <c:f>sheet1!$Q$21:$Q$36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sheet1!$K$21:$K$36</c:f>
            </c:strRef>
          </c:cat>
          <c:val>
            <c:numRef>
              <c:f>sheet1!$R$21:$R$36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sheet1!$K$21:$K$36</c:f>
            </c:strRef>
          </c:cat>
          <c:val>
            <c:numRef>
              <c:f>sheet1!$S$21:$S$36</c:f>
              <c:numCache/>
            </c:numRef>
          </c:val>
          <c:smooth val="0"/>
        </c:ser>
        <c:axId val="1805616599"/>
        <c:axId val="1164431363"/>
      </c:lineChart>
      <c:catAx>
        <c:axId val="1805616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4431363"/>
      </c:catAx>
      <c:valAx>
        <c:axId val="1164431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56165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sheet1!$V$20:$V$27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sheet1!$U$28:$U$38</c:f>
            </c:strRef>
          </c:cat>
          <c:val>
            <c:numRef>
              <c:f>sheet1!$V$28:$V$38</c:f>
              <c:numCache/>
            </c:numRef>
          </c:val>
          <c:smooth val="0"/>
        </c:ser>
        <c:ser>
          <c:idx val="1"/>
          <c:order val="1"/>
          <c:tx>
            <c:strRef>
              <c:f>sheet1!$W$20:$W$27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sheet1!$U$28:$U$38</c:f>
            </c:strRef>
          </c:cat>
          <c:val>
            <c:numRef>
              <c:f>sheet1!$W$28:$W$38</c:f>
              <c:numCache/>
            </c:numRef>
          </c:val>
          <c:smooth val="0"/>
        </c:ser>
        <c:ser>
          <c:idx val="2"/>
          <c:order val="2"/>
          <c:tx>
            <c:strRef>
              <c:f>sheet1!$X$20:$X$27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sheet1!$U$28:$U$38</c:f>
            </c:strRef>
          </c:cat>
          <c:val>
            <c:numRef>
              <c:f>sheet1!$X$28:$X$38</c:f>
              <c:numCache/>
            </c:numRef>
          </c:val>
          <c:smooth val="0"/>
        </c:ser>
        <c:ser>
          <c:idx val="3"/>
          <c:order val="3"/>
          <c:tx>
            <c:strRef>
              <c:f>sheet1!$Y$20:$Y$27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sheet1!$U$28:$U$38</c:f>
            </c:strRef>
          </c:cat>
          <c:val>
            <c:numRef>
              <c:f>sheet1!$Y$28:$Y$38</c:f>
              <c:numCache/>
            </c:numRef>
          </c:val>
          <c:smooth val="0"/>
        </c:ser>
        <c:ser>
          <c:idx val="4"/>
          <c:order val="4"/>
          <c:tx>
            <c:strRef>
              <c:f>sheet1!$Z$20:$Z$27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sheet1!$U$28:$U$38</c:f>
            </c:strRef>
          </c:cat>
          <c:val>
            <c:numRef>
              <c:f>sheet1!$Z$28:$Z$38</c:f>
              <c:numCache/>
            </c:numRef>
          </c:val>
          <c:smooth val="0"/>
        </c:ser>
        <c:ser>
          <c:idx val="5"/>
          <c:order val="5"/>
          <c:tx>
            <c:strRef>
              <c:f>sheet1!$AA$20:$AA$27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sheet1!$U$28:$U$38</c:f>
            </c:strRef>
          </c:cat>
          <c:val>
            <c:numRef>
              <c:f>sheet1!$AA$28:$AA$38</c:f>
              <c:numCache/>
            </c:numRef>
          </c:val>
          <c:smooth val="0"/>
        </c:ser>
        <c:ser>
          <c:idx val="6"/>
          <c:order val="6"/>
          <c:tx>
            <c:strRef>
              <c:f>sheet1!$AB$20:$AB$27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sheet1!$U$28:$U$38</c:f>
            </c:strRef>
          </c:cat>
          <c:val>
            <c:numRef>
              <c:f>sheet1!$AB$28:$AB$38</c:f>
              <c:numCache/>
            </c:numRef>
          </c:val>
          <c:smooth val="0"/>
        </c:ser>
        <c:ser>
          <c:idx val="7"/>
          <c:order val="7"/>
          <c:tx>
            <c:strRef>
              <c:f>sheet1!$AC$20:$AC$27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sheet1!$U$28:$U$38</c:f>
            </c:strRef>
          </c:cat>
          <c:val>
            <c:numRef>
              <c:f>sheet1!$AC$28:$AC$38</c:f>
              <c:numCache/>
            </c:numRef>
          </c:val>
          <c:smooth val="0"/>
        </c:ser>
        <c:axId val="536893054"/>
        <c:axId val="1049170750"/>
      </c:lineChart>
      <c:catAx>
        <c:axId val="5368930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9170750"/>
      </c:catAx>
      <c:valAx>
        <c:axId val="10491707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68930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sheet1!$B$39:$B$41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sheet1!$A$42:$A$58</c:f>
            </c:strRef>
          </c:cat>
          <c:val>
            <c:numRef>
              <c:f>sheet1!$B$42:$B$58</c:f>
              <c:numCache/>
            </c:numRef>
          </c:val>
          <c:smooth val="0"/>
        </c:ser>
        <c:ser>
          <c:idx val="1"/>
          <c:order val="1"/>
          <c:tx>
            <c:strRef>
              <c:f>sheet1!$C$39:$C$41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sheet1!$A$42:$A$58</c:f>
            </c:strRef>
          </c:cat>
          <c:val>
            <c:numRef>
              <c:f>sheet1!$C$42:$C$58</c:f>
              <c:numCache/>
            </c:numRef>
          </c:val>
          <c:smooth val="0"/>
        </c:ser>
        <c:ser>
          <c:idx val="2"/>
          <c:order val="2"/>
          <c:tx>
            <c:strRef>
              <c:f>sheet1!$D$39:$D$41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sheet1!$A$42:$A$58</c:f>
            </c:strRef>
          </c:cat>
          <c:val>
            <c:numRef>
              <c:f>sheet1!$D$42:$D$58</c:f>
              <c:numCache/>
            </c:numRef>
          </c:val>
          <c:smooth val="0"/>
        </c:ser>
        <c:ser>
          <c:idx val="3"/>
          <c:order val="3"/>
          <c:tx>
            <c:strRef>
              <c:f>sheet1!$E$39:$E$41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sheet1!$A$42:$A$58</c:f>
            </c:strRef>
          </c:cat>
          <c:val>
            <c:numRef>
              <c:f>sheet1!$E$42:$E$58</c:f>
              <c:numCache/>
            </c:numRef>
          </c:val>
          <c:smooth val="0"/>
        </c:ser>
        <c:ser>
          <c:idx val="4"/>
          <c:order val="4"/>
          <c:tx>
            <c:strRef>
              <c:f>sheet1!$F$39:$F$41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sheet1!$A$42:$A$58</c:f>
            </c:strRef>
          </c:cat>
          <c:val>
            <c:numRef>
              <c:f>sheet1!$F$42:$F$58</c:f>
              <c:numCache/>
            </c:numRef>
          </c:val>
          <c:smooth val="0"/>
        </c:ser>
        <c:ser>
          <c:idx val="5"/>
          <c:order val="5"/>
          <c:tx>
            <c:strRef>
              <c:f>sheet1!$G$39:$G$41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sheet1!$A$42:$A$58</c:f>
            </c:strRef>
          </c:cat>
          <c:val>
            <c:numRef>
              <c:f>sheet1!$G$42:$G$58</c:f>
              <c:numCache/>
            </c:numRef>
          </c:val>
          <c:smooth val="0"/>
        </c:ser>
        <c:ser>
          <c:idx val="6"/>
          <c:order val="6"/>
          <c:tx>
            <c:strRef>
              <c:f>sheet1!$H$39:$H$41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sheet1!$A$42:$A$58</c:f>
            </c:strRef>
          </c:cat>
          <c:val>
            <c:numRef>
              <c:f>sheet1!$H$42:$H$58</c:f>
              <c:numCache/>
            </c:numRef>
          </c:val>
          <c:smooth val="0"/>
        </c:ser>
        <c:ser>
          <c:idx val="7"/>
          <c:order val="7"/>
          <c:tx>
            <c:strRef>
              <c:f>sheet1!$I$39:$I$41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sheet1!$A$42:$A$58</c:f>
            </c:strRef>
          </c:cat>
          <c:val>
            <c:numRef>
              <c:f>sheet1!$I$42:$I$58</c:f>
              <c:numCache/>
            </c:numRef>
          </c:val>
          <c:smooth val="0"/>
        </c:ser>
        <c:ser>
          <c:idx val="8"/>
          <c:order val="8"/>
          <c:tx>
            <c:strRef>
              <c:f>sheet1!$J$39:$J$41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sheet1!$A$42:$A$58</c:f>
            </c:strRef>
          </c:cat>
          <c:val>
            <c:numRef>
              <c:f>sheet1!$J$42:$J$58</c:f>
              <c:numCache/>
            </c:numRef>
          </c:val>
          <c:smooth val="0"/>
        </c:ser>
        <c:axId val="760531579"/>
        <c:axId val="1396065929"/>
      </c:lineChart>
      <c:catAx>
        <c:axId val="760531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6065929"/>
      </c:catAx>
      <c:valAx>
        <c:axId val="13960659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05315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733425</xdr:colOff>
      <xdr:row>38</xdr:row>
      <xdr:rowOff>66675</xdr:rowOff>
    </xdr:from>
    <xdr:ext cx="3781425" cy="2343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38100</xdr:colOff>
      <xdr:row>38</xdr:row>
      <xdr:rowOff>66675</xdr:rowOff>
    </xdr:from>
    <xdr:ext cx="3781425" cy="23431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619125</xdr:colOff>
      <xdr:row>38</xdr:row>
      <xdr:rowOff>66675</xdr:rowOff>
    </xdr:from>
    <xdr:ext cx="3781425" cy="23431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590550</xdr:colOff>
      <xdr:row>50</xdr:row>
      <xdr:rowOff>209550</xdr:rowOff>
    </xdr:from>
    <xdr:ext cx="4600575" cy="28479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14.2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>
      <c r="A3" s="3" t="s">
        <v>0</v>
      </c>
      <c r="B3" s="2"/>
      <c r="C3" s="2"/>
      <c r="D3" s="2"/>
      <c r="E3" s="4"/>
      <c r="F3" s="2"/>
      <c r="G3" s="2"/>
      <c r="H3" s="2"/>
      <c r="I3" s="2"/>
      <c r="J3" s="2"/>
      <c r="K3" s="3" t="s">
        <v>1</v>
      </c>
      <c r="L3" s="2"/>
      <c r="M3" s="2"/>
      <c r="N3" s="2"/>
      <c r="O3" s="2"/>
      <c r="P3" s="2"/>
      <c r="Q3" s="2"/>
      <c r="R3" s="2"/>
      <c r="S3" s="2"/>
      <c r="T3" s="2"/>
      <c r="U3" s="3" t="s">
        <v>2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6" t="s">
        <v>7</v>
      </c>
      <c r="F4" s="2"/>
      <c r="G4" s="2"/>
      <c r="H4" s="2"/>
      <c r="I4" s="2"/>
      <c r="J4" s="2"/>
      <c r="K4" s="5" t="s">
        <v>3</v>
      </c>
      <c r="L4" s="5" t="s">
        <v>4</v>
      </c>
      <c r="M4" s="5" t="s">
        <v>5</v>
      </c>
      <c r="N4" s="5" t="s">
        <v>6</v>
      </c>
      <c r="O4" s="5" t="s">
        <v>7</v>
      </c>
      <c r="P4" s="2"/>
      <c r="Q4" s="2"/>
      <c r="R4" s="2"/>
      <c r="S4" s="2"/>
      <c r="T4" s="2"/>
      <c r="U4" s="5" t="s">
        <v>3</v>
      </c>
      <c r="V4" s="5" t="s">
        <v>4</v>
      </c>
      <c r="W4" s="5" t="s">
        <v>5</v>
      </c>
      <c r="X4" s="5" t="s">
        <v>6</v>
      </c>
      <c r="Y4" s="5" t="s">
        <v>7</v>
      </c>
      <c r="Z4" s="2"/>
      <c r="AA4" s="2"/>
      <c r="AB4" s="2"/>
      <c r="AC4" s="2"/>
      <c r="AD4" s="2"/>
      <c r="AE4" s="2"/>
      <c r="AF4" s="2"/>
      <c r="AG4" s="2"/>
    </row>
    <row r="5">
      <c r="A5" s="7" t="s">
        <v>8</v>
      </c>
      <c r="B5" s="8">
        <v>2842.0</v>
      </c>
      <c r="C5" s="8">
        <v>3593.0</v>
      </c>
      <c r="D5" s="8">
        <v>1.8866045E7</v>
      </c>
      <c r="E5" s="9">
        <v>9389215.0</v>
      </c>
      <c r="F5" s="2"/>
      <c r="G5" s="2"/>
      <c r="H5" s="2"/>
      <c r="I5" s="2"/>
      <c r="J5" s="2"/>
      <c r="K5" s="10"/>
      <c r="L5" s="11"/>
      <c r="M5" s="11"/>
      <c r="N5" s="8">
        <v>0.0</v>
      </c>
      <c r="O5" s="8">
        <v>0.0</v>
      </c>
      <c r="P5" s="2"/>
      <c r="Q5" s="2"/>
      <c r="R5" s="2"/>
      <c r="S5" s="2"/>
      <c r="T5" s="2"/>
      <c r="U5" s="10"/>
      <c r="V5" s="11"/>
      <c r="W5" s="11"/>
      <c r="X5" s="8">
        <v>0.0</v>
      </c>
      <c r="Y5" s="8">
        <v>0.0</v>
      </c>
      <c r="Z5" s="2"/>
      <c r="AA5" s="2"/>
      <c r="AB5" s="2"/>
      <c r="AC5" s="2"/>
      <c r="AD5" s="2"/>
      <c r="AE5" s="2"/>
      <c r="AF5" s="2"/>
      <c r="AG5" s="2"/>
    </row>
    <row r="6">
      <c r="A6" s="7" t="s">
        <v>9</v>
      </c>
      <c r="B6" s="8">
        <v>529.0</v>
      </c>
      <c r="C6" s="8">
        <v>818.0</v>
      </c>
      <c r="D6" s="8">
        <v>4377010.0</v>
      </c>
      <c r="E6" s="9">
        <v>2173325.0</v>
      </c>
      <c r="F6" s="2"/>
      <c r="G6" s="2"/>
      <c r="H6" s="2"/>
      <c r="I6" s="2"/>
      <c r="J6" s="2"/>
      <c r="K6" s="7" t="s">
        <v>9</v>
      </c>
      <c r="L6" s="8">
        <v>6161.0</v>
      </c>
      <c r="M6" s="8">
        <v>7980.0</v>
      </c>
      <c r="N6" s="8">
        <v>5.0815985E7</v>
      </c>
      <c r="O6" s="8">
        <v>2.616405E7</v>
      </c>
      <c r="P6" s="2"/>
      <c r="Q6" s="2"/>
      <c r="R6" s="2"/>
      <c r="S6" s="2"/>
      <c r="T6" s="2"/>
      <c r="U6" s="10"/>
      <c r="V6" s="11"/>
      <c r="W6" s="11"/>
      <c r="X6" s="8">
        <v>0.0</v>
      </c>
      <c r="Y6" s="8">
        <v>0.0</v>
      </c>
      <c r="Z6" s="2"/>
      <c r="AA6" s="2"/>
      <c r="AB6" s="2"/>
      <c r="AC6" s="2"/>
      <c r="AD6" s="2"/>
      <c r="AE6" s="2"/>
      <c r="AF6" s="2"/>
      <c r="AG6" s="2"/>
    </row>
    <row r="7">
      <c r="A7" s="7" t="s">
        <v>10</v>
      </c>
      <c r="B7" s="8">
        <v>237.0</v>
      </c>
      <c r="C7" s="8">
        <v>325.0</v>
      </c>
      <c r="D7" s="8">
        <v>1908940.0</v>
      </c>
      <c r="E7" s="9">
        <v>942755.0</v>
      </c>
      <c r="F7" s="2"/>
      <c r="G7" s="2"/>
      <c r="H7" s="2"/>
      <c r="I7" s="2"/>
      <c r="J7" s="2"/>
      <c r="K7" s="7" t="s">
        <v>10</v>
      </c>
      <c r="L7" s="8">
        <v>619.0</v>
      </c>
      <c r="M7" s="8">
        <v>939.0</v>
      </c>
      <c r="N7" s="8">
        <v>5396435.0</v>
      </c>
      <c r="O7" s="8">
        <v>2596110.0</v>
      </c>
      <c r="P7" s="2"/>
      <c r="Q7" s="2"/>
      <c r="R7" s="2"/>
      <c r="S7" s="2"/>
      <c r="T7" s="2"/>
      <c r="U7" s="10"/>
      <c r="V7" s="11"/>
      <c r="W7" s="11"/>
      <c r="X7" s="8">
        <v>0.0</v>
      </c>
      <c r="Y7" s="8">
        <v>0.0</v>
      </c>
      <c r="Z7" s="2"/>
      <c r="AA7" s="2"/>
      <c r="AB7" s="2"/>
      <c r="AC7" s="2"/>
      <c r="AD7" s="2"/>
      <c r="AE7" s="2"/>
      <c r="AF7" s="2"/>
      <c r="AG7" s="2"/>
    </row>
    <row r="8">
      <c r="A8" s="7" t="s">
        <v>11</v>
      </c>
      <c r="B8" s="8">
        <v>318.0</v>
      </c>
      <c r="C8" s="8">
        <v>467.0</v>
      </c>
      <c r="D8" s="8">
        <v>2357300.0</v>
      </c>
      <c r="E8" s="9">
        <v>1154450.0</v>
      </c>
      <c r="F8" s="2"/>
      <c r="G8" s="2"/>
      <c r="H8" s="2"/>
      <c r="I8" s="2"/>
      <c r="J8" s="2"/>
      <c r="K8" s="7" t="s">
        <v>11</v>
      </c>
      <c r="L8" s="8">
        <v>546.0</v>
      </c>
      <c r="M8" s="8">
        <v>855.0</v>
      </c>
      <c r="N8" s="8">
        <v>4014505.0</v>
      </c>
      <c r="O8" s="8">
        <v>1990010.0</v>
      </c>
      <c r="P8" s="2"/>
      <c r="Q8" s="2"/>
      <c r="R8" s="2"/>
      <c r="S8" s="2"/>
      <c r="T8" s="2"/>
      <c r="U8" s="10"/>
      <c r="V8" s="11"/>
      <c r="W8" s="11"/>
      <c r="X8" s="8">
        <v>0.0</v>
      </c>
      <c r="Y8" s="8">
        <v>0.0</v>
      </c>
      <c r="Z8" s="2"/>
      <c r="AA8" s="2"/>
      <c r="AB8" s="2"/>
      <c r="AC8" s="2"/>
      <c r="AD8" s="2"/>
      <c r="AE8" s="2"/>
      <c r="AF8" s="2"/>
      <c r="AG8" s="2"/>
    </row>
    <row r="9">
      <c r="A9" s="7" t="s">
        <v>12</v>
      </c>
      <c r="B9" s="8">
        <v>317.0</v>
      </c>
      <c r="C9" s="8">
        <v>468.0</v>
      </c>
      <c r="D9" s="8">
        <v>2213530.0</v>
      </c>
      <c r="E9" s="9">
        <v>1063370.0</v>
      </c>
      <c r="F9" s="2"/>
      <c r="G9" s="2"/>
      <c r="H9" s="2"/>
      <c r="I9" s="2"/>
      <c r="J9" s="2"/>
      <c r="K9" s="7" t="s">
        <v>12</v>
      </c>
      <c r="L9" s="8">
        <v>451.0</v>
      </c>
      <c r="M9" s="8">
        <v>696.0</v>
      </c>
      <c r="N9" s="8">
        <v>3515930.0</v>
      </c>
      <c r="O9" s="8">
        <v>1742015.0</v>
      </c>
      <c r="P9" s="2"/>
      <c r="Q9" s="2"/>
      <c r="R9" s="2"/>
      <c r="S9" s="2"/>
      <c r="T9" s="2"/>
      <c r="U9" s="10"/>
      <c r="V9" s="11"/>
      <c r="W9" s="11"/>
      <c r="X9" s="8">
        <v>0.0</v>
      </c>
      <c r="Y9" s="8">
        <v>0.0</v>
      </c>
      <c r="Z9" s="2"/>
      <c r="AA9" s="2"/>
      <c r="AB9" s="2"/>
      <c r="AC9" s="2"/>
      <c r="AD9" s="2"/>
      <c r="AE9" s="2"/>
      <c r="AF9" s="2"/>
      <c r="AG9" s="2"/>
    </row>
    <row r="10">
      <c r="A10" s="7" t="s">
        <v>13</v>
      </c>
      <c r="B10" s="8">
        <v>366.0</v>
      </c>
      <c r="C10" s="8">
        <v>615.0</v>
      </c>
      <c r="D10" s="8">
        <v>3017685.0</v>
      </c>
      <c r="E10" s="9">
        <v>1435610.0</v>
      </c>
      <c r="F10" s="2"/>
      <c r="G10" s="2"/>
      <c r="H10" s="2"/>
      <c r="I10" s="2"/>
      <c r="J10" s="2"/>
      <c r="K10" s="7" t="s">
        <v>13</v>
      </c>
      <c r="L10" s="8">
        <v>939.0</v>
      </c>
      <c r="M10" s="8">
        <v>1579.0</v>
      </c>
      <c r="N10" s="8">
        <v>8754185.0</v>
      </c>
      <c r="O10" s="8">
        <v>4264700.0</v>
      </c>
      <c r="P10" s="2"/>
      <c r="Q10" s="2"/>
      <c r="R10" s="2"/>
      <c r="S10" s="2"/>
      <c r="T10" s="2"/>
      <c r="U10" s="7" t="s">
        <v>13</v>
      </c>
      <c r="V10" s="8">
        <v>5881.0</v>
      </c>
      <c r="W10" s="8">
        <v>7651.0</v>
      </c>
      <c r="X10" s="8">
        <v>4.608989E7</v>
      </c>
      <c r="Y10" s="8">
        <v>2.257783E7</v>
      </c>
      <c r="Z10" s="2"/>
      <c r="AA10" s="2"/>
      <c r="AB10" s="2"/>
      <c r="AC10" s="2"/>
      <c r="AD10" s="2"/>
      <c r="AE10" s="2"/>
      <c r="AF10" s="2"/>
      <c r="AG10" s="2"/>
    </row>
    <row r="11">
      <c r="A11" s="7" t="s">
        <v>14</v>
      </c>
      <c r="B11" s="8">
        <v>234.0</v>
      </c>
      <c r="C11" s="8">
        <v>339.0</v>
      </c>
      <c r="D11" s="8">
        <v>1575365.0</v>
      </c>
      <c r="E11" s="9">
        <v>740795.0</v>
      </c>
      <c r="F11" s="2"/>
      <c r="G11" s="2"/>
      <c r="H11" s="2"/>
      <c r="I11" s="2"/>
      <c r="J11" s="2"/>
      <c r="K11" s="7" t="s">
        <v>14</v>
      </c>
      <c r="L11" s="8">
        <v>418.0</v>
      </c>
      <c r="M11" s="8">
        <v>687.0</v>
      </c>
      <c r="N11" s="8">
        <v>3430020.0</v>
      </c>
      <c r="O11" s="8">
        <v>1596375.0</v>
      </c>
      <c r="P11" s="2"/>
      <c r="Q11" s="2"/>
      <c r="R11" s="2"/>
      <c r="S11" s="2"/>
      <c r="T11" s="2"/>
      <c r="U11" s="7" t="s">
        <v>14</v>
      </c>
      <c r="V11" s="8">
        <v>690.0</v>
      </c>
      <c r="W11" s="8">
        <v>1011.0</v>
      </c>
      <c r="X11" s="8">
        <v>5531845.0</v>
      </c>
      <c r="Y11" s="8">
        <v>2540340.0</v>
      </c>
      <c r="Z11" s="2"/>
      <c r="AA11" s="2"/>
      <c r="AB11" s="2"/>
      <c r="AC11" s="2"/>
      <c r="AD11" s="2"/>
      <c r="AE11" s="2"/>
      <c r="AF11" s="2"/>
      <c r="AG11" s="2"/>
    </row>
    <row r="12">
      <c r="A12" s="7" t="s">
        <v>15</v>
      </c>
      <c r="B12" s="8">
        <v>254.0</v>
      </c>
      <c r="C12" s="8">
        <v>408.0</v>
      </c>
      <c r="D12" s="8">
        <v>1804770.0</v>
      </c>
      <c r="E12" s="9">
        <v>868560.0</v>
      </c>
      <c r="F12" s="2"/>
      <c r="G12" s="2"/>
      <c r="H12" s="2"/>
      <c r="I12" s="2"/>
      <c r="J12" s="2"/>
      <c r="K12" s="7" t="s">
        <v>15</v>
      </c>
      <c r="L12" s="8">
        <v>442.0</v>
      </c>
      <c r="M12" s="8">
        <v>738.0</v>
      </c>
      <c r="N12" s="8">
        <v>3375460.0</v>
      </c>
      <c r="O12" s="8">
        <v>1614635.0</v>
      </c>
      <c r="P12" s="2"/>
      <c r="Q12" s="2"/>
      <c r="R12" s="2"/>
      <c r="S12" s="2"/>
      <c r="T12" s="2"/>
      <c r="U12" s="7" t="s">
        <v>15</v>
      </c>
      <c r="V12" s="8">
        <v>473.0</v>
      </c>
      <c r="W12" s="8">
        <v>675.0</v>
      </c>
      <c r="X12" s="8">
        <v>3571370.0</v>
      </c>
      <c r="Y12" s="8">
        <v>1677170.0</v>
      </c>
      <c r="Z12" s="2"/>
      <c r="AA12" s="2"/>
      <c r="AB12" s="2"/>
      <c r="AC12" s="2"/>
      <c r="AD12" s="2"/>
      <c r="AE12" s="2"/>
      <c r="AF12" s="2"/>
      <c r="AG12" s="2"/>
    </row>
    <row r="13">
      <c r="A13" s="7" t="s">
        <v>16</v>
      </c>
      <c r="B13" s="8">
        <v>269.0</v>
      </c>
      <c r="C13" s="8">
        <v>385.0</v>
      </c>
      <c r="D13" s="8">
        <v>1582735.0</v>
      </c>
      <c r="E13" s="9">
        <v>742940.0</v>
      </c>
      <c r="F13" s="2"/>
      <c r="G13" s="2"/>
      <c r="H13" s="2"/>
      <c r="I13" s="2"/>
      <c r="J13" s="2"/>
      <c r="K13" s="7" t="s">
        <v>16</v>
      </c>
      <c r="L13" s="8">
        <v>430.0</v>
      </c>
      <c r="M13" s="8">
        <v>731.0</v>
      </c>
      <c r="N13" s="8">
        <v>3476385.0</v>
      </c>
      <c r="O13" s="8">
        <v>1640210.0</v>
      </c>
      <c r="P13" s="2"/>
      <c r="Q13" s="2"/>
      <c r="R13" s="2"/>
      <c r="S13" s="2"/>
      <c r="T13" s="2"/>
      <c r="U13" s="7" t="s">
        <v>16</v>
      </c>
      <c r="V13" s="8">
        <v>420.0</v>
      </c>
      <c r="W13" s="8">
        <v>601.0</v>
      </c>
      <c r="X13" s="8">
        <v>2838000.0</v>
      </c>
      <c r="Y13" s="8">
        <v>1371040.0</v>
      </c>
      <c r="Z13" s="2"/>
      <c r="AA13" s="2"/>
      <c r="AB13" s="2"/>
      <c r="AC13" s="2"/>
      <c r="AD13" s="2"/>
      <c r="AE13" s="2"/>
      <c r="AF13" s="2"/>
      <c r="AG13" s="2"/>
    </row>
    <row r="14">
      <c r="A14" s="7" t="s">
        <v>17</v>
      </c>
      <c r="B14" s="8">
        <v>358.0</v>
      </c>
      <c r="C14" s="8">
        <v>625.0</v>
      </c>
      <c r="D14" s="8">
        <v>3222065.0</v>
      </c>
      <c r="E14" s="9">
        <v>1519155.0</v>
      </c>
      <c r="F14" s="2"/>
      <c r="G14" s="2"/>
      <c r="H14" s="2"/>
      <c r="I14" s="2"/>
      <c r="J14" s="2"/>
      <c r="K14" s="7" t="s">
        <v>17</v>
      </c>
      <c r="L14" s="8">
        <v>885.0</v>
      </c>
      <c r="M14" s="8">
        <v>1542.0</v>
      </c>
      <c r="N14" s="8">
        <v>8510590.0</v>
      </c>
      <c r="O14" s="8">
        <v>4095850.0</v>
      </c>
      <c r="P14" s="2"/>
      <c r="Q14" s="2"/>
      <c r="R14" s="2"/>
      <c r="S14" s="2"/>
      <c r="T14" s="2"/>
      <c r="U14" s="7" t="s">
        <v>17</v>
      </c>
      <c r="V14" s="8">
        <v>999.0</v>
      </c>
      <c r="W14" s="8">
        <v>1660.0</v>
      </c>
      <c r="X14" s="8">
        <v>8927160.0</v>
      </c>
      <c r="Y14" s="8">
        <v>4306665.0</v>
      </c>
      <c r="Z14" s="2"/>
      <c r="AA14" s="2"/>
      <c r="AB14" s="2"/>
      <c r="AC14" s="2"/>
      <c r="AD14" s="2"/>
      <c r="AE14" s="2"/>
      <c r="AF14" s="2"/>
      <c r="AG14" s="2"/>
    </row>
    <row r="15">
      <c r="A15" s="7" t="s">
        <v>18</v>
      </c>
      <c r="B15" s="8">
        <v>220.0</v>
      </c>
      <c r="C15" s="8">
        <v>323.0</v>
      </c>
      <c r="D15" s="8">
        <v>1638945.0</v>
      </c>
      <c r="E15" s="9">
        <v>766755.0</v>
      </c>
      <c r="F15" s="2"/>
      <c r="G15" s="2"/>
      <c r="H15" s="2"/>
      <c r="I15" s="2"/>
      <c r="J15" s="2"/>
      <c r="K15" s="7" t="s">
        <v>18</v>
      </c>
      <c r="L15" s="8">
        <v>381.0</v>
      </c>
      <c r="M15" s="8">
        <v>625.0</v>
      </c>
      <c r="N15" s="8">
        <v>3439535.0</v>
      </c>
      <c r="O15" s="8">
        <v>1651705.0</v>
      </c>
      <c r="P15" s="2"/>
      <c r="Q15" s="2"/>
      <c r="R15" s="2"/>
      <c r="S15" s="2"/>
      <c r="T15" s="2"/>
      <c r="U15" s="7" t="s">
        <v>18</v>
      </c>
      <c r="V15" s="8">
        <v>387.0</v>
      </c>
      <c r="W15" s="8">
        <v>562.0</v>
      </c>
      <c r="X15" s="8">
        <v>3135275.0</v>
      </c>
      <c r="Y15" s="8">
        <v>1509805.0</v>
      </c>
      <c r="Z15" s="2"/>
      <c r="AA15" s="2"/>
      <c r="AB15" s="2"/>
      <c r="AC15" s="2"/>
      <c r="AD15" s="2"/>
      <c r="AE15" s="2"/>
      <c r="AF15" s="2"/>
      <c r="AG15" s="2"/>
    </row>
    <row r="16">
      <c r="A16" s="7" t="s">
        <v>19</v>
      </c>
      <c r="B16" s="8">
        <v>224.0</v>
      </c>
      <c r="C16" s="8">
        <v>338.0</v>
      </c>
      <c r="D16" s="8">
        <v>1742675.0</v>
      </c>
      <c r="E16" s="9">
        <v>828905.0</v>
      </c>
      <c r="F16" s="2"/>
      <c r="G16" s="2"/>
      <c r="H16" s="2"/>
      <c r="I16" s="2"/>
      <c r="J16" s="2"/>
      <c r="K16" s="7" t="s">
        <v>19</v>
      </c>
      <c r="L16" s="8">
        <v>384.0</v>
      </c>
      <c r="M16" s="8">
        <v>654.0</v>
      </c>
      <c r="N16" s="8">
        <v>3467475.0</v>
      </c>
      <c r="O16" s="8">
        <v>1650495.0</v>
      </c>
      <c r="P16" s="2"/>
      <c r="Q16" s="2"/>
      <c r="R16" s="2"/>
      <c r="S16" s="2"/>
      <c r="T16" s="2"/>
      <c r="U16" s="7" t="s">
        <v>19</v>
      </c>
      <c r="V16" s="8">
        <v>343.0</v>
      </c>
      <c r="W16" s="8">
        <v>522.0</v>
      </c>
      <c r="X16" s="8">
        <v>2546775.0</v>
      </c>
      <c r="Y16" s="8">
        <v>1241075.0</v>
      </c>
      <c r="Z16" s="2"/>
      <c r="AA16" s="2"/>
      <c r="AB16" s="2"/>
      <c r="AC16" s="2"/>
      <c r="AD16" s="2"/>
      <c r="AE16" s="2"/>
      <c r="AF16" s="2"/>
      <c r="AG16" s="2"/>
    </row>
    <row r="17">
      <c r="A17" s="7" t="s">
        <v>20</v>
      </c>
      <c r="B17" s="8">
        <v>230.0</v>
      </c>
      <c r="C17" s="8">
        <v>349.0</v>
      </c>
      <c r="D17" s="8">
        <v>1446720.0</v>
      </c>
      <c r="E17" s="9">
        <v>692780.0</v>
      </c>
      <c r="F17" s="2"/>
      <c r="G17" s="2"/>
      <c r="H17" s="2"/>
      <c r="I17" s="2"/>
      <c r="J17" s="2"/>
      <c r="K17" s="7" t="s">
        <v>20</v>
      </c>
      <c r="L17" s="8">
        <v>351.0</v>
      </c>
      <c r="M17" s="8">
        <v>561.0</v>
      </c>
      <c r="N17" s="8">
        <v>2413840.0</v>
      </c>
      <c r="O17" s="8">
        <v>1158025.0</v>
      </c>
      <c r="P17" s="2"/>
      <c r="Q17" s="2"/>
      <c r="R17" s="2"/>
      <c r="S17" s="2"/>
      <c r="T17" s="2"/>
      <c r="U17" s="7" t="s">
        <v>20</v>
      </c>
      <c r="V17" s="8">
        <v>356.0</v>
      </c>
      <c r="W17" s="8">
        <v>518.0</v>
      </c>
      <c r="X17" s="8">
        <v>2251975.0</v>
      </c>
      <c r="Y17" s="8">
        <v>1074480.0</v>
      </c>
      <c r="Z17" s="2"/>
      <c r="AA17" s="2"/>
      <c r="AB17" s="2"/>
      <c r="AC17" s="2"/>
      <c r="AD17" s="2"/>
      <c r="AE17" s="2"/>
      <c r="AF17" s="2"/>
      <c r="AG17" s="2"/>
    </row>
    <row r="18">
      <c r="A18" s="12" t="s">
        <v>21</v>
      </c>
      <c r="B18" s="13">
        <v>311.0</v>
      </c>
      <c r="C18" s="13">
        <v>523.0</v>
      </c>
      <c r="D18" s="13">
        <v>2693735.0</v>
      </c>
      <c r="E18" s="14">
        <v>1293325.0</v>
      </c>
      <c r="F18" s="2"/>
      <c r="G18" s="2"/>
      <c r="H18" s="2"/>
      <c r="I18" s="2"/>
      <c r="J18" s="2"/>
      <c r="K18" s="12" t="s">
        <v>21</v>
      </c>
      <c r="L18" s="13">
        <v>743.0</v>
      </c>
      <c r="M18" s="13">
        <v>1364.0</v>
      </c>
      <c r="N18" s="13">
        <v>7542645.0</v>
      </c>
      <c r="O18" s="13">
        <v>3669875.0</v>
      </c>
      <c r="P18" s="2"/>
      <c r="Q18" s="2"/>
      <c r="R18" s="2"/>
      <c r="S18" s="2"/>
      <c r="T18" s="2"/>
      <c r="U18" s="12" t="s">
        <v>21</v>
      </c>
      <c r="V18" s="13">
        <v>778.0</v>
      </c>
      <c r="W18" s="13">
        <v>1300.0</v>
      </c>
      <c r="X18" s="13">
        <v>7285410.0</v>
      </c>
      <c r="Y18" s="13">
        <v>3469510.0</v>
      </c>
      <c r="Z18" s="2"/>
      <c r="AA18" s="2"/>
      <c r="AB18" s="2"/>
      <c r="AC18" s="2"/>
      <c r="AD18" s="2"/>
      <c r="AE18" s="2"/>
      <c r="AF18" s="2"/>
      <c r="AG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7"/>
      <c r="AF20" s="2"/>
      <c r="AG20" s="2"/>
    </row>
    <row r="21">
      <c r="A21" s="1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19"/>
      <c r="AF21" s="2"/>
      <c r="AG21" s="2"/>
    </row>
    <row r="22">
      <c r="A22" s="20" t="s">
        <v>3</v>
      </c>
      <c r="B22" s="20" t="s">
        <v>4</v>
      </c>
      <c r="C22" s="20" t="s">
        <v>5</v>
      </c>
      <c r="D22" s="20" t="s">
        <v>6</v>
      </c>
      <c r="E22" s="20" t="s">
        <v>7</v>
      </c>
      <c r="F22" s="20" t="s">
        <v>22</v>
      </c>
      <c r="G22" s="20" t="s">
        <v>23</v>
      </c>
      <c r="H22" s="20" t="s">
        <v>24</v>
      </c>
      <c r="I22" s="20" t="s">
        <v>25</v>
      </c>
      <c r="J22" s="2"/>
      <c r="K22" s="20" t="s">
        <v>3</v>
      </c>
      <c r="L22" s="20" t="s">
        <v>4</v>
      </c>
      <c r="M22" s="20" t="s">
        <v>5</v>
      </c>
      <c r="N22" s="20" t="s">
        <v>6</v>
      </c>
      <c r="O22" s="20" t="s">
        <v>7</v>
      </c>
      <c r="P22" s="20" t="s">
        <v>22</v>
      </c>
      <c r="Q22" s="20" t="s">
        <v>23</v>
      </c>
      <c r="R22" s="20" t="s">
        <v>24</v>
      </c>
      <c r="S22" s="20" t="s">
        <v>25</v>
      </c>
      <c r="T22" s="2"/>
      <c r="U22" s="20" t="s">
        <v>3</v>
      </c>
      <c r="V22" s="20" t="s">
        <v>4</v>
      </c>
      <c r="W22" s="20" t="s">
        <v>5</v>
      </c>
      <c r="X22" s="20" t="s">
        <v>6</v>
      </c>
      <c r="Y22" s="20" t="s">
        <v>7</v>
      </c>
      <c r="Z22" s="20" t="s">
        <v>22</v>
      </c>
      <c r="AA22" s="20" t="s">
        <v>23</v>
      </c>
      <c r="AB22" s="20" t="s">
        <v>24</v>
      </c>
      <c r="AC22" s="20" t="s">
        <v>25</v>
      </c>
      <c r="AD22" s="2"/>
      <c r="AE22" s="2"/>
      <c r="AF22" s="2"/>
      <c r="AG22" s="2"/>
    </row>
    <row r="23">
      <c r="A23" s="21" t="str">
        <f t="shared" ref="A23:E23" si="1">A5</f>
        <v>2021Q3</v>
      </c>
      <c r="B23" s="22">
        <f t="shared" si="1"/>
        <v>2842</v>
      </c>
      <c r="C23" s="22">
        <f t="shared" si="1"/>
        <v>3593</v>
      </c>
      <c r="D23" s="22">
        <f t="shared" si="1"/>
        <v>18866045</v>
      </c>
      <c r="E23" s="22">
        <f t="shared" si="1"/>
        <v>9389215</v>
      </c>
      <c r="F23" s="23">
        <f t="shared" ref="F23:F36" si="4">B5/$B$5</f>
        <v>1</v>
      </c>
      <c r="G23" s="24">
        <f t="shared" ref="G23:G36" si="5">D5/B5</f>
        <v>6638.298733</v>
      </c>
      <c r="H23" s="25">
        <f t="shared" ref="H23:I23" si="2">C5/B5</f>
        <v>1.264250528</v>
      </c>
      <c r="I23" s="24">
        <f t="shared" si="2"/>
        <v>5250.777901</v>
      </c>
      <c r="J23" s="2"/>
      <c r="K23" s="26"/>
      <c r="L23" s="27"/>
      <c r="M23" s="28"/>
      <c r="N23" s="28"/>
      <c r="O23" s="28"/>
      <c r="P23" s="29"/>
      <c r="Q23" s="30"/>
      <c r="R23" s="30"/>
      <c r="S23" s="30"/>
      <c r="T23" s="2"/>
      <c r="U23" s="26"/>
      <c r="V23" s="27"/>
      <c r="W23" s="28"/>
      <c r="X23" s="28"/>
      <c r="Y23" s="28"/>
      <c r="Z23" s="29"/>
      <c r="AA23" s="30"/>
      <c r="AB23" s="30"/>
      <c r="AC23" s="30"/>
      <c r="AD23" s="2"/>
      <c r="AE23" s="2"/>
      <c r="AF23" s="2"/>
      <c r="AG23" s="2"/>
    </row>
    <row r="24">
      <c r="A24" s="21" t="str">
        <f t="shared" ref="A24:E24" si="3">A6</f>
        <v>2021Q4</v>
      </c>
      <c r="B24" s="22">
        <f t="shared" si="3"/>
        <v>529</v>
      </c>
      <c r="C24" s="22">
        <f t="shared" si="3"/>
        <v>818</v>
      </c>
      <c r="D24" s="22">
        <f t="shared" si="3"/>
        <v>4377010</v>
      </c>
      <c r="E24" s="22">
        <f t="shared" si="3"/>
        <v>2173325</v>
      </c>
      <c r="F24" s="23">
        <f t="shared" si="4"/>
        <v>0.1861365236</v>
      </c>
      <c r="G24" s="24">
        <f t="shared" si="5"/>
        <v>8274.120983</v>
      </c>
      <c r="H24" s="25">
        <f t="shared" ref="H24:I24" si="6">C6/B6</f>
        <v>1.5463138</v>
      </c>
      <c r="I24" s="24">
        <f t="shared" si="6"/>
        <v>5350.867971</v>
      </c>
      <c r="J24" s="2"/>
      <c r="K24" s="21" t="str">
        <f t="shared" ref="K24:O24" si="7">K6</f>
        <v>2021Q4</v>
      </c>
      <c r="L24" s="22">
        <f t="shared" si="7"/>
        <v>6161</v>
      </c>
      <c r="M24" s="22">
        <f t="shared" si="7"/>
        <v>7980</v>
      </c>
      <c r="N24" s="22">
        <f t="shared" si="7"/>
        <v>50815985</v>
      </c>
      <c r="O24" s="22">
        <f t="shared" si="7"/>
        <v>26164050</v>
      </c>
      <c r="P24" s="23">
        <f t="shared" ref="P24:P36" si="12">L6/$L$6</f>
        <v>1</v>
      </c>
      <c r="Q24" s="24">
        <f t="shared" ref="Q24:Q36" si="13">N6/L6</f>
        <v>8248.009252</v>
      </c>
      <c r="R24" s="25">
        <f t="shared" ref="R24:S24" si="8">M6/L6</f>
        <v>1.295244279</v>
      </c>
      <c r="S24" s="24">
        <f t="shared" si="8"/>
        <v>6367.91792</v>
      </c>
      <c r="T24" s="2"/>
      <c r="U24" s="26"/>
      <c r="V24" s="27"/>
      <c r="W24" s="28"/>
      <c r="X24" s="28"/>
      <c r="Y24" s="28"/>
      <c r="Z24" s="29"/>
      <c r="AA24" s="30"/>
      <c r="AB24" s="30"/>
      <c r="AC24" s="30"/>
      <c r="AD24" s="2"/>
      <c r="AE24" s="2"/>
      <c r="AF24" s="2"/>
      <c r="AG24" s="2"/>
    </row>
    <row r="25">
      <c r="A25" s="21" t="str">
        <f t="shared" ref="A25:E25" si="9">A7</f>
        <v>2022Q1</v>
      </c>
      <c r="B25" s="22">
        <f t="shared" si="9"/>
        <v>237</v>
      </c>
      <c r="C25" s="22">
        <f t="shared" si="9"/>
        <v>325</v>
      </c>
      <c r="D25" s="22">
        <f t="shared" si="9"/>
        <v>1908940</v>
      </c>
      <c r="E25" s="22">
        <f t="shared" si="9"/>
        <v>942755</v>
      </c>
      <c r="F25" s="23">
        <f t="shared" si="4"/>
        <v>0.08339197748</v>
      </c>
      <c r="G25" s="24">
        <f t="shared" si="5"/>
        <v>8054.599156</v>
      </c>
      <c r="H25" s="25">
        <f t="shared" ref="H25:I25" si="10">C7/B7</f>
        <v>1.371308017</v>
      </c>
      <c r="I25" s="24">
        <f t="shared" si="10"/>
        <v>5873.661538</v>
      </c>
      <c r="J25" s="2"/>
      <c r="K25" s="21" t="str">
        <f t="shared" ref="K25:O25" si="11">K7</f>
        <v>2022Q1</v>
      </c>
      <c r="L25" s="22">
        <f t="shared" si="11"/>
        <v>619</v>
      </c>
      <c r="M25" s="22">
        <f t="shared" si="11"/>
        <v>939</v>
      </c>
      <c r="N25" s="22">
        <f t="shared" si="11"/>
        <v>5396435</v>
      </c>
      <c r="O25" s="22">
        <f t="shared" si="11"/>
        <v>2596110</v>
      </c>
      <c r="P25" s="23">
        <f t="shared" si="12"/>
        <v>0.1004707028</v>
      </c>
      <c r="Q25" s="24">
        <f t="shared" si="13"/>
        <v>8717.988691</v>
      </c>
      <c r="R25" s="25">
        <f t="shared" ref="R25:S25" si="14">M7/L7</f>
        <v>1.516962843</v>
      </c>
      <c r="S25" s="24">
        <f t="shared" si="14"/>
        <v>5747.00213</v>
      </c>
      <c r="T25" s="2"/>
      <c r="U25" s="26"/>
      <c r="V25" s="27"/>
      <c r="W25" s="28"/>
      <c r="X25" s="28"/>
      <c r="Y25" s="28"/>
      <c r="Z25" s="29"/>
      <c r="AA25" s="30"/>
      <c r="AB25" s="30"/>
      <c r="AC25" s="30"/>
      <c r="AD25" s="2"/>
      <c r="AE25" s="2"/>
      <c r="AF25" s="2"/>
      <c r="AG25" s="2"/>
    </row>
    <row r="26">
      <c r="A26" s="21" t="str">
        <f t="shared" ref="A26:E26" si="15">A8</f>
        <v>2022Q2</v>
      </c>
      <c r="B26" s="22">
        <f t="shared" si="15"/>
        <v>318</v>
      </c>
      <c r="C26" s="22">
        <f t="shared" si="15"/>
        <v>467</v>
      </c>
      <c r="D26" s="22">
        <f t="shared" si="15"/>
        <v>2357300</v>
      </c>
      <c r="E26" s="22">
        <f t="shared" si="15"/>
        <v>1154450</v>
      </c>
      <c r="F26" s="23">
        <f t="shared" si="4"/>
        <v>0.1118930331</v>
      </c>
      <c r="G26" s="24">
        <f t="shared" si="5"/>
        <v>7412.893082</v>
      </c>
      <c r="H26" s="25">
        <f t="shared" ref="H26:I26" si="16">C8/B8</f>
        <v>1.468553459</v>
      </c>
      <c r="I26" s="24">
        <f t="shared" si="16"/>
        <v>5047.751606</v>
      </c>
      <c r="J26" s="2"/>
      <c r="K26" s="21" t="str">
        <f t="shared" ref="K26:O26" si="17">K8</f>
        <v>2022Q2</v>
      </c>
      <c r="L26" s="22">
        <f t="shared" si="17"/>
        <v>546</v>
      </c>
      <c r="M26" s="22">
        <f t="shared" si="17"/>
        <v>855</v>
      </c>
      <c r="N26" s="22">
        <f t="shared" si="17"/>
        <v>4014505</v>
      </c>
      <c r="O26" s="22">
        <f t="shared" si="17"/>
        <v>1990010</v>
      </c>
      <c r="P26" s="23">
        <f t="shared" si="12"/>
        <v>0.08862197695</v>
      </c>
      <c r="Q26" s="24">
        <f t="shared" si="13"/>
        <v>7352.57326</v>
      </c>
      <c r="R26" s="25">
        <f t="shared" ref="R26:S26" si="18">M8/L8</f>
        <v>1.565934066</v>
      </c>
      <c r="S26" s="24">
        <f t="shared" si="18"/>
        <v>4695.327485</v>
      </c>
      <c r="T26" s="2"/>
      <c r="U26" s="26"/>
      <c r="V26" s="27"/>
      <c r="W26" s="28"/>
      <c r="X26" s="28"/>
      <c r="Y26" s="28"/>
      <c r="Z26" s="29"/>
      <c r="AA26" s="30"/>
      <c r="AB26" s="30"/>
      <c r="AC26" s="30"/>
      <c r="AD26" s="2"/>
      <c r="AE26" s="2"/>
      <c r="AF26" s="2"/>
      <c r="AG26" s="2"/>
    </row>
    <row r="27">
      <c r="A27" s="21" t="str">
        <f t="shared" ref="A27:E27" si="19">A9</f>
        <v>2022Q3</v>
      </c>
      <c r="B27" s="22">
        <f t="shared" si="19"/>
        <v>317</v>
      </c>
      <c r="C27" s="22">
        <f t="shared" si="19"/>
        <v>468</v>
      </c>
      <c r="D27" s="22">
        <f t="shared" si="19"/>
        <v>2213530</v>
      </c>
      <c r="E27" s="22">
        <f t="shared" si="19"/>
        <v>1063370</v>
      </c>
      <c r="F27" s="23">
        <f t="shared" si="4"/>
        <v>0.1115411682</v>
      </c>
      <c r="G27" s="24">
        <f t="shared" si="5"/>
        <v>6982.744479</v>
      </c>
      <c r="H27" s="25">
        <f t="shared" ref="H27:I27" si="20">C9/B9</f>
        <v>1.476340694</v>
      </c>
      <c r="I27" s="24">
        <f t="shared" si="20"/>
        <v>4729.764957</v>
      </c>
      <c r="J27" s="2"/>
      <c r="K27" s="21" t="str">
        <f t="shared" ref="K27:O27" si="21">K9</f>
        <v>2022Q3</v>
      </c>
      <c r="L27" s="22">
        <f t="shared" si="21"/>
        <v>451</v>
      </c>
      <c r="M27" s="22">
        <f t="shared" si="21"/>
        <v>696</v>
      </c>
      <c r="N27" s="22">
        <f t="shared" si="21"/>
        <v>3515930</v>
      </c>
      <c r="O27" s="22">
        <f t="shared" si="21"/>
        <v>1742015</v>
      </c>
      <c r="P27" s="23">
        <f t="shared" si="12"/>
        <v>0.07320240221</v>
      </c>
      <c r="Q27" s="24">
        <f t="shared" si="13"/>
        <v>7795.853659</v>
      </c>
      <c r="R27" s="25">
        <f t="shared" ref="R27:S27" si="22">M9/L9</f>
        <v>1.543237251</v>
      </c>
      <c r="S27" s="24">
        <f t="shared" si="22"/>
        <v>5051.623563</v>
      </c>
      <c r="T27" s="2"/>
      <c r="U27" s="26"/>
      <c r="V27" s="27"/>
      <c r="W27" s="28"/>
      <c r="X27" s="28"/>
      <c r="Y27" s="28"/>
      <c r="Z27" s="29"/>
      <c r="AA27" s="30"/>
      <c r="AB27" s="30"/>
      <c r="AC27" s="30"/>
      <c r="AD27" s="2"/>
      <c r="AE27" s="2"/>
      <c r="AF27" s="2"/>
      <c r="AG27" s="2"/>
    </row>
    <row r="28">
      <c r="A28" s="21" t="str">
        <f t="shared" ref="A28:E28" si="23">A10</f>
        <v>2022Q4</v>
      </c>
      <c r="B28" s="22">
        <f t="shared" si="23"/>
        <v>366</v>
      </c>
      <c r="C28" s="22">
        <f t="shared" si="23"/>
        <v>615</v>
      </c>
      <c r="D28" s="22">
        <f t="shared" si="23"/>
        <v>3017685</v>
      </c>
      <c r="E28" s="22">
        <f t="shared" si="23"/>
        <v>1435610</v>
      </c>
      <c r="F28" s="23">
        <f t="shared" si="4"/>
        <v>0.1287825475</v>
      </c>
      <c r="G28" s="24">
        <f t="shared" si="5"/>
        <v>8245.040984</v>
      </c>
      <c r="H28" s="25">
        <f t="shared" ref="H28:I28" si="24">C10/B10</f>
        <v>1.680327869</v>
      </c>
      <c r="I28" s="24">
        <f t="shared" si="24"/>
        <v>4906.804878</v>
      </c>
      <c r="J28" s="2"/>
      <c r="K28" s="21" t="str">
        <f t="shared" ref="K28:O28" si="25">K10</f>
        <v>2022Q4</v>
      </c>
      <c r="L28" s="22">
        <f t="shared" si="25"/>
        <v>939</v>
      </c>
      <c r="M28" s="22">
        <f t="shared" si="25"/>
        <v>1579</v>
      </c>
      <c r="N28" s="22">
        <f t="shared" si="25"/>
        <v>8754185</v>
      </c>
      <c r="O28" s="22">
        <f t="shared" si="25"/>
        <v>4264700</v>
      </c>
      <c r="P28" s="23">
        <f t="shared" si="12"/>
        <v>0.152410323</v>
      </c>
      <c r="Q28" s="24">
        <f t="shared" si="13"/>
        <v>9322.880724</v>
      </c>
      <c r="R28" s="25">
        <f t="shared" ref="R28:S28" si="26">M10/L10</f>
        <v>1.681576145</v>
      </c>
      <c r="S28" s="24">
        <f t="shared" si="26"/>
        <v>5544.132362</v>
      </c>
      <c r="T28" s="2"/>
      <c r="U28" s="21" t="s">
        <v>13</v>
      </c>
      <c r="V28" s="22">
        <f t="shared" ref="V28:Y28" si="27">V10</f>
        <v>5881</v>
      </c>
      <c r="W28" s="22">
        <f t="shared" si="27"/>
        <v>7651</v>
      </c>
      <c r="X28" s="22">
        <f t="shared" si="27"/>
        <v>46089890</v>
      </c>
      <c r="Y28" s="22">
        <f t="shared" si="27"/>
        <v>22577830</v>
      </c>
      <c r="Z28" s="23">
        <f t="shared" ref="Z28:Z36" si="34">V10/$V$10</f>
        <v>1</v>
      </c>
      <c r="AA28" s="24">
        <f t="shared" ref="AA28:AA36" si="35">X10/V10</f>
        <v>7837.083829</v>
      </c>
      <c r="AB28" s="25">
        <f t="shared" ref="AB28:AC28" si="28">W10/V10</f>
        <v>1.300969223</v>
      </c>
      <c r="AC28" s="24">
        <f t="shared" si="28"/>
        <v>6024.034767</v>
      </c>
      <c r="AD28" s="2"/>
      <c r="AE28" s="2"/>
      <c r="AF28" s="2"/>
      <c r="AG28" s="2"/>
    </row>
    <row r="29">
      <c r="A29" s="21" t="str">
        <f t="shared" ref="A29:E29" si="29">A11</f>
        <v>2023Q1</v>
      </c>
      <c r="B29" s="22">
        <f t="shared" si="29"/>
        <v>234</v>
      </c>
      <c r="C29" s="22">
        <f t="shared" si="29"/>
        <v>339</v>
      </c>
      <c r="D29" s="22">
        <f t="shared" si="29"/>
        <v>1575365</v>
      </c>
      <c r="E29" s="22">
        <f t="shared" si="29"/>
        <v>740795</v>
      </c>
      <c r="F29" s="23">
        <f t="shared" si="4"/>
        <v>0.08233638283</v>
      </c>
      <c r="G29" s="24">
        <f t="shared" si="5"/>
        <v>6732.32906</v>
      </c>
      <c r="H29" s="25">
        <f t="shared" ref="H29:I29" si="30">C11/B11</f>
        <v>1.448717949</v>
      </c>
      <c r="I29" s="24">
        <f t="shared" si="30"/>
        <v>4647.094395</v>
      </c>
      <c r="J29" s="2"/>
      <c r="K29" s="21" t="str">
        <f t="shared" ref="K29:O29" si="31">K11</f>
        <v>2023Q1</v>
      </c>
      <c r="L29" s="22">
        <f t="shared" si="31"/>
        <v>418</v>
      </c>
      <c r="M29" s="22">
        <f t="shared" si="31"/>
        <v>687</v>
      </c>
      <c r="N29" s="22">
        <f t="shared" si="31"/>
        <v>3430020</v>
      </c>
      <c r="O29" s="22">
        <f t="shared" si="31"/>
        <v>1596375</v>
      </c>
      <c r="P29" s="23">
        <f t="shared" si="12"/>
        <v>0.06784612888</v>
      </c>
      <c r="Q29" s="24">
        <f t="shared" si="13"/>
        <v>8205.789474</v>
      </c>
      <c r="R29" s="25">
        <f t="shared" ref="R29:S29" si="32">M11/L11</f>
        <v>1.64354067</v>
      </c>
      <c r="S29" s="24">
        <f t="shared" si="32"/>
        <v>4992.751092</v>
      </c>
      <c r="T29" s="2"/>
      <c r="U29" s="21" t="str">
        <f t="shared" ref="U29:Y29" si="33">U11</f>
        <v>2023Q1</v>
      </c>
      <c r="V29" s="22">
        <f t="shared" si="33"/>
        <v>690</v>
      </c>
      <c r="W29" s="22">
        <f t="shared" si="33"/>
        <v>1011</v>
      </c>
      <c r="X29" s="22">
        <f t="shared" si="33"/>
        <v>5531845</v>
      </c>
      <c r="Y29" s="22">
        <f t="shared" si="33"/>
        <v>2540340</v>
      </c>
      <c r="Z29" s="23">
        <f t="shared" si="34"/>
        <v>0.1173269852</v>
      </c>
      <c r="AA29" s="24">
        <f t="shared" si="35"/>
        <v>8017.166667</v>
      </c>
      <c r="AB29" s="25">
        <f t="shared" ref="AB29:AC29" si="36">W11/V11</f>
        <v>1.465217391</v>
      </c>
      <c r="AC29" s="24">
        <f t="shared" si="36"/>
        <v>5471.656775</v>
      </c>
      <c r="AD29" s="2"/>
      <c r="AE29" s="2"/>
      <c r="AF29" s="2"/>
      <c r="AG29" s="2"/>
    </row>
    <row r="30">
      <c r="A30" s="21" t="str">
        <f t="shared" ref="A30:E30" si="37">A12</f>
        <v>2023Q2</v>
      </c>
      <c r="B30" s="22">
        <f t="shared" si="37"/>
        <v>254</v>
      </c>
      <c r="C30" s="22">
        <f t="shared" si="37"/>
        <v>408</v>
      </c>
      <c r="D30" s="22">
        <f t="shared" si="37"/>
        <v>1804770</v>
      </c>
      <c r="E30" s="22">
        <f t="shared" si="37"/>
        <v>868560</v>
      </c>
      <c r="F30" s="23">
        <f t="shared" si="4"/>
        <v>0.08937368051</v>
      </c>
      <c r="G30" s="24">
        <f t="shared" si="5"/>
        <v>7105.393701</v>
      </c>
      <c r="H30" s="25">
        <f t="shared" ref="H30:I30" si="38">C12/B12</f>
        <v>1.606299213</v>
      </c>
      <c r="I30" s="24">
        <f t="shared" si="38"/>
        <v>4423.455882</v>
      </c>
      <c r="J30" s="2"/>
      <c r="K30" s="21" t="str">
        <f t="shared" ref="K30:O30" si="39">K12</f>
        <v>2023Q2</v>
      </c>
      <c r="L30" s="22">
        <f t="shared" si="39"/>
        <v>442</v>
      </c>
      <c r="M30" s="22">
        <f t="shared" si="39"/>
        <v>738</v>
      </c>
      <c r="N30" s="22">
        <f t="shared" si="39"/>
        <v>3375460</v>
      </c>
      <c r="O30" s="22">
        <f t="shared" si="39"/>
        <v>1614635</v>
      </c>
      <c r="P30" s="23">
        <f t="shared" si="12"/>
        <v>0.07174160039</v>
      </c>
      <c r="Q30" s="24">
        <f t="shared" si="13"/>
        <v>7636.78733</v>
      </c>
      <c r="R30" s="25">
        <f t="shared" ref="R30:S30" si="40">M12/L12</f>
        <v>1.669683258</v>
      </c>
      <c r="S30" s="24">
        <f t="shared" si="40"/>
        <v>4573.794038</v>
      </c>
      <c r="T30" s="2"/>
      <c r="U30" s="21" t="str">
        <f t="shared" ref="U30:Y30" si="41">U12</f>
        <v>2023Q2</v>
      </c>
      <c r="V30" s="22">
        <f t="shared" si="41"/>
        <v>473</v>
      </c>
      <c r="W30" s="22">
        <f t="shared" si="41"/>
        <v>675</v>
      </c>
      <c r="X30" s="22">
        <f t="shared" si="41"/>
        <v>3571370</v>
      </c>
      <c r="Y30" s="22">
        <f t="shared" si="41"/>
        <v>1677170</v>
      </c>
      <c r="Z30" s="23">
        <f t="shared" si="34"/>
        <v>0.08042849855</v>
      </c>
      <c r="AA30" s="24">
        <f t="shared" si="35"/>
        <v>7550.465116</v>
      </c>
      <c r="AB30" s="25">
        <f t="shared" ref="AB30:AC30" si="42">W12/V12</f>
        <v>1.427061311</v>
      </c>
      <c r="AC30" s="24">
        <f t="shared" si="42"/>
        <v>5290.918519</v>
      </c>
      <c r="AD30" s="2"/>
      <c r="AE30" s="2"/>
      <c r="AF30" s="2"/>
      <c r="AG30" s="2"/>
    </row>
    <row r="31">
      <c r="A31" s="21" t="str">
        <f t="shared" ref="A31:E31" si="43">A13</f>
        <v>2023Q3</v>
      </c>
      <c r="B31" s="22">
        <f t="shared" si="43"/>
        <v>269</v>
      </c>
      <c r="C31" s="22">
        <f t="shared" si="43"/>
        <v>385</v>
      </c>
      <c r="D31" s="22">
        <f t="shared" si="43"/>
        <v>1582735</v>
      </c>
      <c r="E31" s="22">
        <f t="shared" si="43"/>
        <v>742940</v>
      </c>
      <c r="F31" s="23">
        <f t="shared" si="4"/>
        <v>0.09465165376</v>
      </c>
      <c r="G31" s="24">
        <f t="shared" si="5"/>
        <v>5883.773234</v>
      </c>
      <c r="H31" s="25">
        <f t="shared" ref="H31:I31" si="44">C13/B13</f>
        <v>1.431226766</v>
      </c>
      <c r="I31" s="24">
        <f t="shared" si="44"/>
        <v>4111</v>
      </c>
      <c r="J31" s="2"/>
      <c r="K31" s="21" t="str">
        <f t="shared" ref="K31:O31" si="45">K13</f>
        <v>2023Q3</v>
      </c>
      <c r="L31" s="22">
        <f t="shared" si="45"/>
        <v>430</v>
      </c>
      <c r="M31" s="22">
        <f t="shared" si="45"/>
        <v>731</v>
      </c>
      <c r="N31" s="22">
        <f t="shared" si="45"/>
        <v>3476385</v>
      </c>
      <c r="O31" s="22">
        <f t="shared" si="45"/>
        <v>1640210</v>
      </c>
      <c r="P31" s="23">
        <f t="shared" si="12"/>
        <v>0.06979386463</v>
      </c>
      <c r="Q31" s="24">
        <f t="shared" si="13"/>
        <v>8084.616279</v>
      </c>
      <c r="R31" s="25">
        <f t="shared" ref="R31:S31" si="46">M13/L13</f>
        <v>1.7</v>
      </c>
      <c r="S31" s="24">
        <f t="shared" si="46"/>
        <v>4755.656635</v>
      </c>
      <c r="T31" s="2"/>
      <c r="U31" s="21" t="str">
        <f t="shared" ref="U31:Y31" si="47">U13</f>
        <v>2023Q3</v>
      </c>
      <c r="V31" s="22">
        <f t="shared" si="47"/>
        <v>420</v>
      </c>
      <c r="W31" s="22">
        <f t="shared" si="47"/>
        <v>601</v>
      </c>
      <c r="X31" s="22">
        <f t="shared" si="47"/>
        <v>2838000</v>
      </c>
      <c r="Y31" s="22">
        <f t="shared" si="47"/>
        <v>1371040</v>
      </c>
      <c r="Z31" s="23">
        <f t="shared" si="34"/>
        <v>0.07141642578</v>
      </c>
      <c r="AA31" s="24">
        <f t="shared" si="35"/>
        <v>6757.142857</v>
      </c>
      <c r="AB31" s="25">
        <f t="shared" ref="AB31:AC31" si="48">W13/V13</f>
        <v>1.430952381</v>
      </c>
      <c r="AC31" s="24">
        <f t="shared" si="48"/>
        <v>4722.129784</v>
      </c>
      <c r="AD31" s="2"/>
      <c r="AE31" s="2"/>
      <c r="AF31" s="2"/>
      <c r="AG31" s="2"/>
    </row>
    <row r="32">
      <c r="A32" s="21" t="str">
        <f t="shared" ref="A32:E32" si="49">A14</f>
        <v>2023Q4</v>
      </c>
      <c r="B32" s="22">
        <f t="shared" si="49"/>
        <v>358</v>
      </c>
      <c r="C32" s="22">
        <f t="shared" si="49"/>
        <v>625</v>
      </c>
      <c r="D32" s="22">
        <f t="shared" si="49"/>
        <v>3222065</v>
      </c>
      <c r="E32" s="22">
        <f t="shared" si="49"/>
        <v>1519155</v>
      </c>
      <c r="F32" s="23">
        <f t="shared" si="4"/>
        <v>0.1259676284</v>
      </c>
      <c r="G32" s="24">
        <f t="shared" si="5"/>
        <v>9000.181564</v>
      </c>
      <c r="H32" s="25">
        <f t="shared" ref="H32:I32" si="50">C14/B14</f>
        <v>1.745810056</v>
      </c>
      <c r="I32" s="24">
        <f t="shared" si="50"/>
        <v>5155.304</v>
      </c>
      <c r="J32" s="2"/>
      <c r="K32" s="21" t="str">
        <f t="shared" ref="K32:O32" si="51">K14</f>
        <v>2023Q4</v>
      </c>
      <c r="L32" s="22">
        <f t="shared" si="51"/>
        <v>885</v>
      </c>
      <c r="M32" s="22">
        <f t="shared" si="51"/>
        <v>1542</v>
      </c>
      <c r="N32" s="22">
        <f t="shared" si="51"/>
        <v>8510590</v>
      </c>
      <c r="O32" s="22">
        <f t="shared" si="51"/>
        <v>4095850</v>
      </c>
      <c r="P32" s="23">
        <f t="shared" si="12"/>
        <v>0.1436455121</v>
      </c>
      <c r="Q32" s="24">
        <f t="shared" si="13"/>
        <v>9616.485876</v>
      </c>
      <c r="R32" s="25">
        <f t="shared" ref="R32:S32" si="52">M14/L14</f>
        <v>1.742372881</v>
      </c>
      <c r="S32" s="24">
        <f t="shared" si="52"/>
        <v>5519.189364</v>
      </c>
      <c r="T32" s="2"/>
      <c r="U32" s="21" t="str">
        <f t="shared" ref="U32:Y32" si="53">U14</f>
        <v>2023Q4</v>
      </c>
      <c r="V32" s="22">
        <f t="shared" si="53"/>
        <v>999</v>
      </c>
      <c r="W32" s="22">
        <f t="shared" si="53"/>
        <v>1660</v>
      </c>
      <c r="X32" s="22">
        <f t="shared" si="53"/>
        <v>8927160</v>
      </c>
      <c r="Y32" s="22">
        <f t="shared" si="53"/>
        <v>4306665</v>
      </c>
      <c r="Z32" s="23">
        <f t="shared" si="34"/>
        <v>0.1698690699</v>
      </c>
      <c r="AA32" s="24">
        <f t="shared" si="35"/>
        <v>8936.096096</v>
      </c>
      <c r="AB32" s="25">
        <f t="shared" ref="AB32:AC32" si="54">W14/V14</f>
        <v>1.661661662</v>
      </c>
      <c r="AC32" s="24">
        <f t="shared" si="54"/>
        <v>5377.807229</v>
      </c>
      <c r="AD32" s="2"/>
      <c r="AE32" s="2"/>
      <c r="AF32" s="2"/>
      <c r="AG32" s="2"/>
    </row>
    <row r="33">
      <c r="A33" s="21" t="str">
        <f t="shared" ref="A33:E33" si="55">A15</f>
        <v>2024Q1</v>
      </c>
      <c r="B33" s="22">
        <f t="shared" si="55"/>
        <v>220</v>
      </c>
      <c r="C33" s="22">
        <f t="shared" si="55"/>
        <v>323</v>
      </c>
      <c r="D33" s="22">
        <f t="shared" si="55"/>
        <v>1638945</v>
      </c>
      <c r="E33" s="22">
        <f t="shared" si="55"/>
        <v>766755</v>
      </c>
      <c r="F33" s="23">
        <f t="shared" si="4"/>
        <v>0.07741027445</v>
      </c>
      <c r="G33" s="24">
        <f t="shared" si="5"/>
        <v>7449.75</v>
      </c>
      <c r="H33" s="25">
        <f t="shared" ref="H33:I33" si="56">C15/B15</f>
        <v>1.468181818</v>
      </c>
      <c r="I33" s="24">
        <f t="shared" si="56"/>
        <v>5074.133127</v>
      </c>
      <c r="J33" s="2"/>
      <c r="K33" s="21" t="str">
        <f t="shared" ref="K33:O33" si="57">K15</f>
        <v>2024Q1</v>
      </c>
      <c r="L33" s="22">
        <f t="shared" si="57"/>
        <v>381</v>
      </c>
      <c r="M33" s="22">
        <f t="shared" si="57"/>
        <v>625</v>
      </c>
      <c r="N33" s="22">
        <f t="shared" si="57"/>
        <v>3439535</v>
      </c>
      <c r="O33" s="22">
        <f t="shared" si="57"/>
        <v>1651705</v>
      </c>
      <c r="P33" s="23">
        <f t="shared" si="12"/>
        <v>0.06184061029</v>
      </c>
      <c r="Q33" s="24">
        <f t="shared" si="13"/>
        <v>9027.650919</v>
      </c>
      <c r="R33" s="25">
        <f t="shared" ref="R33:S33" si="58">M15/L15</f>
        <v>1.640419948</v>
      </c>
      <c r="S33" s="24">
        <f t="shared" si="58"/>
        <v>5503.256</v>
      </c>
      <c r="T33" s="2"/>
      <c r="U33" s="21" t="str">
        <f t="shared" ref="U33:Y33" si="59">U15</f>
        <v>2024Q1</v>
      </c>
      <c r="V33" s="22">
        <f t="shared" si="59"/>
        <v>387</v>
      </c>
      <c r="W33" s="22">
        <f t="shared" si="59"/>
        <v>562</v>
      </c>
      <c r="X33" s="22">
        <f t="shared" si="59"/>
        <v>3135275</v>
      </c>
      <c r="Y33" s="22">
        <f t="shared" si="59"/>
        <v>1509805</v>
      </c>
      <c r="Z33" s="23">
        <f t="shared" si="34"/>
        <v>0.06580513518</v>
      </c>
      <c r="AA33" s="24">
        <f t="shared" si="35"/>
        <v>8101.485788</v>
      </c>
      <c r="AB33" s="25">
        <f t="shared" ref="AB33:AC33" si="60">W15/V15</f>
        <v>1.452196382</v>
      </c>
      <c r="AC33" s="24">
        <f t="shared" si="60"/>
        <v>5578.781139</v>
      </c>
      <c r="AD33" s="2"/>
      <c r="AE33" s="2"/>
      <c r="AF33" s="2"/>
      <c r="AG33" s="2"/>
    </row>
    <row r="34">
      <c r="A34" s="21" t="str">
        <f t="shared" ref="A34:E34" si="61">A16</f>
        <v>2024Q2</v>
      </c>
      <c r="B34" s="22">
        <f t="shared" si="61"/>
        <v>224</v>
      </c>
      <c r="C34" s="22">
        <f t="shared" si="61"/>
        <v>338</v>
      </c>
      <c r="D34" s="22">
        <f t="shared" si="61"/>
        <v>1742675</v>
      </c>
      <c r="E34" s="22">
        <f t="shared" si="61"/>
        <v>828905</v>
      </c>
      <c r="F34" s="23">
        <f t="shared" si="4"/>
        <v>0.07881773399</v>
      </c>
      <c r="G34" s="24">
        <f t="shared" si="5"/>
        <v>7779.799107</v>
      </c>
      <c r="H34" s="25">
        <f t="shared" ref="H34:I34" si="62">C16/B16</f>
        <v>1.508928571</v>
      </c>
      <c r="I34" s="24">
        <f t="shared" si="62"/>
        <v>5155.843195</v>
      </c>
      <c r="J34" s="2"/>
      <c r="K34" s="21" t="str">
        <f t="shared" ref="K34:O34" si="63">K16</f>
        <v>2024Q2</v>
      </c>
      <c r="L34" s="22">
        <f t="shared" si="63"/>
        <v>384</v>
      </c>
      <c r="M34" s="22">
        <f t="shared" si="63"/>
        <v>654</v>
      </c>
      <c r="N34" s="22">
        <f t="shared" si="63"/>
        <v>3467475</v>
      </c>
      <c r="O34" s="22">
        <f t="shared" si="63"/>
        <v>1650495</v>
      </c>
      <c r="P34" s="23">
        <f t="shared" si="12"/>
        <v>0.06232754423</v>
      </c>
      <c r="Q34" s="24">
        <f t="shared" si="13"/>
        <v>9029.882813</v>
      </c>
      <c r="R34" s="25">
        <f t="shared" ref="R34:S34" si="64">M16/L16</f>
        <v>1.703125</v>
      </c>
      <c r="S34" s="24">
        <f t="shared" si="64"/>
        <v>5301.949541</v>
      </c>
      <c r="T34" s="2"/>
      <c r="U34" s="21" t="str">
        <f t="shared" ref="U34:Y34" si="65">U16</f>
        <v>2024Q2</v>
      </c>
      <c r="V34" s="22">
        <f t="shared" si="65"/>
        <v>343</v>
      </c>
      <c r="W34" s="22">
        <f t="shared" si="65"/>
        <v>522</v>
      </c>
      <c r="X34" s="22">
        <f t="shared" si="65"/>
        <v>2546775</v>
      </c>
      <c r="Y34" s="22">
        <f t="shared" si="65"/>
        <v>1241075</v>
      </c>
      <c r="Z34" s="23">
        <f t="shared" si="34"/>
        <v>0.05832341439</v>
      </c>
      <c r="AA34" s="24">
        <f t="shared" si="35"/>
        <v>7425</v>
      </c>
      <c r="AB34" s="25">
        <f t="shared" ref="AB34:AC34" si="66">W16/V16</f>
        <v>1.521865889</v>
      </c>
      <c r="AC34" s="24">
        <f t="shared" si="66"/>
        <v>4878.87931</v>
      </c>
      <c r="AD34" s="2"/>
      <c r="AE34" s="2"/>
      <c r="AF34" s="2"/>
      <c r="AG34" s="2"/>
    </row>
    <row r="35">
      <c r="A35" s="31" t="s">
        <v>20</v>
      </c>
      <c r="B35" s="22">
        <f t="shared" ref="B35:E35" si="67">B17</f>
        <v>230</v>
      </c>
      <c r="C35" s="22">
        <f t="shared" si="67"/>
        <v>349</v>
      </c>
      <c r="D35" s="22">
        <f t="shared" si="67"/>
        <v>1446720</v>
      </c>
      <c r="E35" s="22">
        <f t="shared" si="67"/>
        <v>692780</v>
      </c>
      <c r="F35" s="23">
        <f t="shared" si="4"/>
        <v>0.08092892329</v>
      </c>
      <c r="G35" s="24">
        <f t="shared" si="5"/>
        <v>6290.086957</v>
      </c>
      <c r="H35" s="25">
        <f t="shared" ref="H35:I35" si="68">C17/B17</f>
        <v>1.517391304</v>
      </c>
      <c r="I35" s="24">
        <f t="shared" si="68"/>
        <v>4145.329513</v>
      </c>
      <c r="J35" s="2"/>
      <c r="K35" s="21" t="str">
        <f t="shared" ref="K35:O35" si="69">K17</f>
        <v>2024Q3</v>
      </c>
      <c r="L35" s="22">
        <f t="shared" si="69"/>
        <v>351</v>
      </c>
      <c r="M35" s="22">
        <f t="shared" si="69"/>
        <v>561</v>
      </c>
      <c r="N35" s="22">
        <f t="shared" si="69"/>
        <v>2413840</v>
      </c>
      <c r="O35" s="22">
        <f t="shared" si="69"/>
        <v>1158025</v>
      </c>
      <c r="P35" s="23">
        <f t="shared" si="12"/>
        <v>0.0569712709</v>
      </c>
      <c r="Q35" s="24">
        <f t="shared" si="13"/>
        <v>6877.037037</v>
      </c>
      <c r="R35" s="25">
        <f t="shared" ref="R35:S35" si="70">M17/L17</f>
        <v>1.598290598</v>
      </c>
      <c r="S35" s="24">
        <f t="shared" si="70"/>
        <v>4302.745098</v>
      </c>
      <c r="T35" s="2"/>
      <c r="U35" s="21" t="str">
        <f t="shared" ref="U35:Y35" si="71">U17</f>
        <v>2024Q3</v>
      </c>
      <c r="V35" s="22">
        <f t="shared" si="71"/>
        <v>356</v>
      </c>
      <c r="W35" s="22">
        <f t="shared" si="71"/>
        <v>518</v>
      </c>
      <c r="X35" s="22">
        <f t="shared" si="71"/>
        <v>2251975</v>
      </c>
      <c r="Y35" s="22">
        <f t="shared" si="71"/>
        <v>1074480</v>
      </c>
      <c r="Z35" s="23">
        <f t="shared" si="34"/>
        <v>0.0605339228</v>
      </c>
      <c r="AA35" s="24">
        <f t="shared" si="35"/>
        <v>6325.772472</v>
      </c>
      <c r="AB35" s="25">
        <f t="shared" ref="AB35:AC35" si="72">W17/V17</f>
        <v>1.45505618</v>
      </c>
      <c r="AC35" s="24">
        <f t="shared" si="72"/>
        <v>4347.442085</v>
      </c>
      <c r="AD35" s="2"/>
      <c r="AE35" s="2"/>
      <c r="AF35" s="2"/>
      <c r="AG35" s="2"/>
    </row>
    <row r="36">
      <c r="A36" s="21" t="str">
        <f t="shared" ref="A36:E36" si="73">A18</f>
        <v>2024Q4</v>
      </c>
      <c r="B36" s="22">
        <f t="shared" si="73"/>
        <v>311</v>
      </c>
      <c r="C36" s="22">
        <f t="shared" si="73"/>
        <v>523</v>
      </c>
      <c r="D36" s="22">
        <f t="shared" si="73"/>
        <v>2693735</v>
      </c>
      <c r="E36" s="22">
        <f t="shared" si="73"/>
        <v>1293325</v>
      </c>
      <c r="F36" s="23">
        <f t="shared" si="4"/>
        <v>0.1094299789</v>
      </c>
      <c r="G36" s="24">
        <f t="shared" si="5"/>
        <v>8661.527331</v>
      </c>
      <c r="H36" s="25">
        <f t="shared" ref="H36:I36" si="74">C18/B18</f>
        <v>1.681672026</v>
      </c>
      <c r="I36" s="24">
        <f t="shared" si="74"/>
        <v>5150.544933</v>
      </c>
      <c r="J36" s="2"/>
      <c r="K36" s="21" t="str">
        <f t="shared" ref="K36:O36" si="75">K18</f>
        <v>2024Q4</v>
      </c>
      <c r="L36" s="22">
        <f t="shared" si="75"/>
        <v>743</v>
      </c>
      <c r="M36" s="22">
        <f t="shared" si="75"/>
        <v>1364</v>
      </c>
      <c r="N36" s="22">
        <f t="shared" si="75"/>
        <v>7542645</v>
      </c>
      <c r="O36" s="22">
        <f t="shared" si="75"/>
        <v>3669875</v>
      </c>
      <c r="P36" s="23">
        <f t="shared" si="12"/>
        <v>0.1205973056</v>
      </c>
      <c r="Q36" s="24">
        <f t="shared" si="13"/>
        <v>10151.60834</v>
      </c>
      <c r="R36" s="25">
        <f t="shared" ref="R36:S36" si="76">M18/L18</f>
        <v>1.835800808</v>
      </c>
      <c r="S36" s="24">
        <f t="shared" si="76"/>
        <v>5529.798387</v>
      </c>
      <c r="T36" s="2"/>
      <c r="U36" s="21" t="str">
        <f t="shared" ref="U36:Y36" si="77">U18</f>
        <v>2024Q4</v>
      </c>
      <c r="V36" s="22">
        <f t="shared" si="77"/>
        <v>778</v>
      </c>
      <c r="W36" s="22">
        <f t="shared" si="77"/>
        <v>1300</v>
      </c>
      <c r="X36" s="22">
        <f t="shared" si="77"/>
        <v>7285410</v>
      </c>
      <c r="Y36" s="22">
        <f t="shared" si="77"/>
        <v>3469510</v>
      </c>
      <c r="Z36" s="23">
        <f t="shared" si="34"/>
        <v>0.1322904268</v>
      </c>
      <c r="AA36" s="24">
        <f t="shared" si="35"/>
        <v>9364.280206</v>
      </c>
      <c r="AB36" s="25">
        <f t="shared" ref="AB36:AC36" si="78">W18/V18</f>
        <v>1.670951157</v>
      </c>
      <c r="AC36" s="24">
        <f t="shared" si="78"/>
        <v>5604.161538</v>
      </c>
      <c r="AD36" s="2"/>
      <c r="AE36" s="2"/>
      <c r="AF36" s="2"/>
      <c r="AG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>
      <c r="A41" s="32" t="str">
        <f t="shared" ref="A41:A55" si="79">A22</f>
        <v>Quarter</v>
      </c>
      <c r="B41" s="21" t="s">
        <v>0</v>
      </c>
      <c r="C41" s="21" t="s">
        <v>1</v>
      </c>
      <c r="D41" s="21" t="s">
        <v>2</v>
      </c>
      <c r="E41" s="21" t="s">
        <v>0</v>
      </c>
      <c r="F41" s="21" t="s">
        <v>1</v>
      </c>
      <c r="G41" s="21" t="s">
        <v>2</v>
      </c>
      <c r="H41" s="21" t="s">
        <v>0</v>
      </c>
      <c r="I41" s="21" t="s">
        <v>1</v>
      </c>
      <c r="J41" s="21" t="s">
        <v>2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>
      <c r="A42" s="32" t="str">
        <f t="shared" si="79"/>
        <v>2021Q3</v>
      </c>
      <c r="B42" s="23">
        <f t="shared" ref="B42:B55" si="80">F23</f>
        <v>1</v>
      </c>
      <c r="C42" s="29"/>
      <c r="D42" s="29"/>
      <c r="E42" s="24">
        <f t="shared" ref="E42:E55" si="81">G23</f>
        <v>6638.298733</v>
      </c>
      <c r="F42" s="33"/>
      <c r="G42" s="33"/>
      <c r="H42" s="24">
        <f t="shared" ref="H42:H55" si="82">I23</f>
        <v>5250.777901</v>
      </c>
      <c r="I42" s="33"/>
      <c r="J42" s="3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>
      <c r="A43" s="32" t="str">
        <f t="shared" si="79"/>
        <v>2021Q4</v>
      </c>
      <c r="B43" s="23">
        <f t="shared" si="80"/>
        <v>0.1861365236</v>
      </c>
      <c r="C43" s="23">
        <f t="shared" ref="C43:C55" si="83">P24</f>
        <v>1</v>
      </c>
      <c r="D43" s="29"/>
      <c r="E43" s="24">
        <f t="shared" si="81"/>
        <v>8274.120983</v>
      </c>
      <c r="F43" s="24">
        <f t="shared" ref="F43:F55" si="84">Q24</f>
        <v>8248.009252</v>
      </c>
      <c r="G43" s="33"/>
      <c r="H43" s="24">
        <f t="shared" si="82"/>
        <v>5350.867971</v>
      </c>
      <c r="I43" s="24">
        <f t="shared" ref="I43:I55" si="85">S24</f>
        <v>6367.91792</v>
      </c>
      <c r="J43" s="3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>
      <c r="A44" s="32" t="str">
        <f t="shared" si="79"/>
        <v>2022Q1</v>
      </c>
      <c r="B44" s="23">
        <f t="shared" si="80"/>
        <v>0.08339197748</v>
      </c>
      <c r="C44" s="23">
        <f t="shared" si="83"/>
        <v>0.1004707028</v>
      </c>
      <c r="D44" s="29"/>
      <c r="E44" s="24">
        <f t="shared" si="81"/>
        <v>8054.599156</v>
      </c>
      <c r="F44" s="24">
        <f t="shared" si="84"/>
        <v>8717.988691</v>
      </c>
      <c r="G44" s="33"/>
      <c r="H44" s="24">
        <f t="shared" si="82"/>
        <v>5873.661538</v>
      </c>
      <c r="I44" s="24">
        <f t="shared" si="85"/>
        <v>5747.00213</v>
      </c>
      <c r="J44" s="3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>
      <c r="A45" s="32" t="str">
        <f t="shared" si="79"/>
        <v>2022Q2</v>
      </c>
      <c r="B45" s="23">
        <f t="shared" si="80"/>
        <v>0.1118930331</v>
      </c>
      <c r="C45" s="23">
        <f t="shared" si="83"/>
        <v>0.08862197695</v>
      </c>
      <c r="D45" s="29"/>
      <c r="E45" s="24">
        <f t="shared" si="81"/>
        <v>7412.893082</v>
      </c>
      <c r="F45" s="24">
        <f t="shared" si="84"/>
        <v>7352.57326</v>
      </c>
      <c r="G45" s="33"/>
      <c r="H45" s="24">
        <f t="shared" si="82"/>
        <v>5047.751606</v>
      </c>
      <c r="I45" s="24">
        <f t="shared" si="85"/>
        <v>4695.327485</v>
      </c>
      <c r="J45" s="3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>
      <c r="A46" s="32" t="str">
        <f t="shared" si="79"/>
        <v>2022Q3</v>
      </c>
      <c r="B46" s="23">
        <f t="shared" si="80"/>
        <v>0.1115411682</v>
      </c>
      <c r="C46" s="23">
        <f t="shared" si="83"/>
        <v>0.07320240221</v>
      </c>
      <c r="D46" s="29"/>
      <c r="E46" s="24">
        <f t="shared" si="81"/>
        <v>6982.744479</v>
      </c>
      <c r="F46" s="24">
        <f t="shared" si="84"/>
        <v>7795.853659</v>
      </c>
      <c r="G46" s="33"/>
      <c r="H46" s="24">
        <f t="shared" si="82"/>
        <v>4729.764957</v>
      </c>
      <c r="I46" s="24">
        <f t="shared" si="85"/>
        <v>5051.623563</v>
      </c>
      <c r="J46" s="3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>
      <c r="A47" s="32" t="str">
        <f t="shared" si="79"/>
        <v>2022Q4</v>
      </c>
      <c r="B47" s="23">
        <f t="shared" si="80"/>
        <v>0.1287825475</v>
      </c>
      <c r="C47" s="23">
        <f t="shared" si="83"/>
        <v>0.152410323</v>
      </c>
      <c r="D47" s="23">
        <f t="shared" ref="D47:D55" si="86">Z28</f>
        <v>1</v>
      </c>
      <c r="E47" s="24">
        <f t="shared" si="81"/>
        <v>8245.040984</v>
      </c>
      <c r="F47" s="24">
        <f t="shared" si="84"/>
        <v>9322.880724</v>
      </c>
      <c r="G47" s="24">
        <f t="shared" ref="G47:G55" si="87">AA28</f>
        <v>7837.083829</v>
      </c>
      <c r="H47" s="24">
        <f t="shared" si="82"/>
        <v>4906.804878</v>
      </c>
      <c r="I47" s="24">
        <f t="shared" si="85"/>
        <v>5544.132362</v>
      </c>
      <c r="J47" s="24">
        <f t="shared" ref="J47:J55" si="88">AC28</f>
        <v>6024.034767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>
      <c r="A48" s="32" t="str">
        <f t="shared" si="79"/>
        <v>2023Q1</v>
      </c>
      <c r="B48" s="23">
        <f t="shared" si="80"/>
        <v>0.08233638283</v>
      </c>
      <c r="C48" s="23">
        <f t="shared" si="83"/>
        <v>0.06784612888</v>
      </c>
      <c r="D48" s="23">
        <f t="shared" si="86"/>
        <v>0.1173269852</v>
      </c>
      <c r="E48" s="24">
        <f t="shared" si="81"/>
        <v>6732.32906</v>
      </c>
      <c r="F48" s="24">
        <f t="shared" si="84"/>
        <v>8205.789474</v>
      </c>
      <c r="G48" s="24">
        <f t="shared" si="87"/>
        <v>8017.166667</v>
      </c>
      <c r="H48" s="24">
        <f t="shared" si="82"/>
        <v>4647.094395</v>
      </c>
      <c r="I48" s="24">
        <f t="shared" si="85"/>
        <v>4992.751092</v>
      </c>
      <c r="J48" s="24">
        <f t="shared" si="88"/>
        <v>5471.656775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>
      <c r="A49" s="32" t="str">
        <f t="shared" si="79"/>
        <v>2023Q2</v>
      </c>
      <c r="B49" s="23">
        <f t="shared" si="80"/>
        <v>0.08937368051</v>
      </c>
      <c r="C49" s="23">
        <f t="shared" si="83"/>
        <v>0.07174160039</v>
      </c>
      <c r="D49" s="23">
        <f t="shared" si="86"/>
        <v>0.08042849855</v>
      </c>
      <c r="E49" s="24">
        <f t="shared" si="81"/>
        <v>7105.393701</v>
      </c>
      <c r="F49" s="24">
        <f t="shared" si="84"/>
        <v>7636.78733</v>
      </c>
      <c r="G49" s="24">
        <f t="shared" si="87"/>
        <v>7550.465116</v>
      </c>
      <c r="H49" s="24">
        <f t="shared" si="82"/>
        <v>4423.455882</v>
      </c>
      <c r="I49" s="24">
        <f t="shared" si="85"/>
        <v>4573.794038</v>
      </c>
      <c r="J49" s="24">
        <f t="shared" si="88"/>
        <v>5290.918519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>
      <c r="A50" s="32" t="str">
        <f t="shared" si="79"/>
        <v>2023Q3</v>
      </c>
      <c r="B50" s="23">
        <f t="shared" si="80"/>
        <v>0.09465165376</v>
      </c>
      <c r="C50" s="23">
        <f t="shared" si="83"/>
        <v>0.06979386463</v>
      </c>
      <c r="D50" s="23">
        <f t="shared" si="86"/>
        <v>0.07141642578</v>
      </c>
      <c r="E50" s="24">
        <f t="shared" si="81"/>
        <v>5883.773234</v>
      </c>
      <c r="F50" s="24">
        <f t="shared" si="84"/>
        <v>8084.616279</v>
      </c>
      <c r="G50" s="24">
        <f t="shared" si="87"/>
        <v>6757.142857</v>
      </c>
      <c r="H50" s="24">
        <f t="shared" si="82"/>
        <v>4111</v>
      </c>
      <c r="I50" s="24">
        <f t="shared" si="85"/>
        <v>4755.656635</v>
      </c>
      <c r="J50" s="24">
        <f t="shared" si="88"/>
        <v>4722.129784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>
      <c r="A51" s="32" t="str">
        <f t="shared" si="79"/>
        <v>2023Q4</v>
      </c>
      <c r="B51" s="23">
        <f t="shared" si="80"/>
        <v>0.1259676284</v>
      </c>
      <c r="C51" s="23">
        <f t="shared" si="83"/>
        <v>0.1436455121</v>
      </c>
      <c r="D51" s="23">
        <f t="shared" si="86"/>
        <v>0.1698690699</v>
      </c>
      <c r="E51" s="24">
        <f t="shared" si="81"/>
        <v>9000.181564</v>
      </c>
      <c r="F51" s="24">
        <f t="shared" si="84"/>
        <v>9616.485876</v>
      </c>
      <c r="G51" s="24">
        <f t="shared" si="87"/>
        <v>8936.096096</v>
      </c>
      <c r="H51" s="24">
        <f t="shared" si="82"/>
        <v>5155.304</v>
      </c>
      <c r="I51" s="24">
        <f t="shared" si="85"/>
        <v>5519.189364</v>
      </c>
      <c r="J51" s="24">
        <f t="shared" si="88"/>
        <v>5377.807229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>
      <c r="A52" s="32" t="str">
        <f t="shared" si="79"/>
        <v>2024Q1</v>
      </c>
      <c r="B52" s="23">
        <f t="shared" si="80"/>
        <v>0.07741027445</v>
      </c>
      <c r="C52" s="23">
        <f t="shared" si="83"/>
        <v>0.06184061029</v>
      </c>
      <c r="D52" s="23">
        <f t="shared" si="86"/>
        <v>0.06580513518</v>
      </c>
      <c r="E52" s="24">
        <f t="shared" si="81"/>
        <v>7449.75</v>
      </c>
      <c r="F52" s="24">
        <f t="shared" si="84"/>
        <v>9027.650919</v>
      </c>
      <c r="G52" s="24">
        <f t="shared" si="87"/>
        <v>8101.485788</v>
      </c>
      <c r="H52" s="24">
        <f t="shared" si="82"/>
        <v>5074.133127</v>
      </c>
      <c r="I52" s="24">
        <f t="shared" si="85"/>
        <v>5503.256</v>
      </c>
      <c r="J52" s="24">
        <f t="shared" si="88"/>
        <v>5578.781139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>
      <c r="A53" s="32" t="str">
        <f t="shared" si="79"/>
        <v>2024Q2</v>
      </c>
      <c r="B53" s="23">
        <f t="shared" si="80"/>
        <v>0.07881773399</v>
      </c>
      <c r="C53" s="23">
        <f t="shared" si="83"/>
        <v>0.06232754423</v>
      </c>
      <c r="D53" s="23">
        <f t="shared" si="86"/>
        <v>0.05832341439</v>
      </c>
      <c r="E53" s="24">
        <f t="shared" si="81"/>
        <v>7779.799107</v>
      </c>
      <c r="F53" s="24">
        <f t="shared" si="84"/>
        <v>9029.882813</v>
      </c>
      <c r="G53" s="24">
        <f t="shared" si="87"/>
        <v>7425</v>
      </c>
      <c r="H53" s="24">
        <f t="shared" si="82"/>
        <v>5155.843195</v>
      </c>
      <c r="I53" s="24">
        <f t="shared" si="85"/>
        <v>5301.949541</v>
      </c>
      <c r="J53" s="24">
        <f t="shared" si="88"/>
        <v>4878.87931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>
      <c r="A54" s="34" t="str">
        <f t="shared" si="79"/>
        <v>2024Q3</v>
      </c>
      <c r="B54" s="23">
        <f t="shared" si="80"/>
        <v>0.08092892329</v>
      </c>
      <c r="C54" s="23">
        <f t="shared" si="83"/>
        <v>0.0569712709</v>
      </c>
      <c r="D54" s="23">
        <f t="shared" si="86"/>
        <v>0.0605339228</v>
      </c>
      <c r="E54" s="24">
        <f t="shared" si="81"/>
        <v>6290.086957</v>
      </c>
      <c r="F54" s="24">
        <f t="shared" si="84"/>
        <v>6877.037037</v>
      </c>
      <c r="G54" s="24">
        <f t="shared" si="87"/>
        <v>6325.772472</v>
      </c>
      <c r="H54" s="24">
        <f t="shared" si="82"/>
        <v>4145.329513</v>
      </c>
      <c r="I54" s="24">
        <f t="shared" si="85"/>
        <v>4302.745098</v>
      </c>
      <c r="J54" s="24">
        <f t="shared" si="88"/>
        <v>4347.442085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>
      <c r="A55" s="32" t="str">
        <f t="shared" si="79"/>
        <v>2024Q4</v>
      </c>
      <c r="B55" s="23">
        <f t="shared" si="80"/>
        <v>0.1094299789</v>
      </c>
      <c r="C55" s="23">
        <f t="shared" si="83"/>
        <v>0.1205973056</v>
      </c>
      <c r="D55" s="23">
        <f t="shared" si="86"/>
        <v>0.1322904268</v>
      </c>
      <c r="E55" s="24">
        <f t="shared" si="81"/>
        <v>8661.527331</v>
      </c>
      <c r="F55" s="24">
        <f t="shared" si="84"/>
        <v>10151.60834</v>
      </c>
      <c r="G55" s="24">
        <f t="shared" si="87"/>
        <v>9364.280206</v>
      </c>
      <c r="H55" s="24">
        <f t="shared" si="82"/>
        <v>5150.544933</v>
      </c>
      <c r="I55" s="24">
        <f t="shared" si="85"/>
        <v>5529.798387</v>
      </c>
      <c r="J55" s="24">
        <f t="shared" si="88"/>
        <v>5604.161538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drawing r:id="rId1"/>
</worksheet>
</file>