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cile 1" sheetId="1" r:id="rId5"/>
    <sheet state="visible" name="cohort 2" sheetId="2" r:id="rId6"/>
    <sheet state="visible" name="3 cohort analysis" sheetId="3" r:id="rId7"/>
    <sheet state="visible" name="questions" sheetId="4" r:id="rId8"/>
    <sheet state="visible" name="yearly" sheetId="5" r:id="rId9"/>
  </sheets>
  <definedNames/>
  <calcPr/>
</workbook>
</file>

<file path=xl/sharedStrings.xml><?xml version="1.0" encoding="utf-8"?>
<sst xmlns="http://schemas.openxmlformats.org/spreadsheetml/2006/main" count="161" uniqueCount="58">
  <si>
    <t>Decile</t>
  </si>
  <si>
    <t># Customers</t>
  </si>
  <si>
    <t>Total Transactions</t>
  </si>
  <si>
    <t>Revenue</t>
  </si>
  <si>
    <t>Profit</t>
  </si>
  <si>
    <t>Avg spend/cust</t>
  </si>
  <si>
    <t>Avg profit/cust</t>
  </si>
  <si>
    <t>AOF</t>
  </si>
  <si>
    <t>AOV</t>
  </si>
  <si>
    <t>Avg margin</t>
  </si>
  <si>
    <t>Quarter</t>
  </si>
  <si>
    <t>% active</t>
  </si>
  <si>
    <t>Avg spend/active customer</t>
  </si>
  <si>
    <t>2021Q1</t>
  </si>
  <si>
    <t>2021Q2</t>
  </si>
  <si>
    <t>2021Q3</t>
  </si>
  <si>
    <t>2021Q4</t>
  </si>
  <si>
    <t>2022Q1</t>
  </si>
  <si>
    <t>2022Q2</t>
  </si>
  <si>
    <t>2022Q3</t>
  </si>
  <si>
    <t>2022Q4</t>
  </si>
  <si>
    <t>2023Q1</t>
  </si>
  <si>
    <t>2023Q2</t>
  </si>
  <si>
    <t>2023Q3</t>
  </si>
  <si>
    <t>2023Q4</t>
  </si>
  <si>
    <t>2024Q1</t>
  </si>
  <si>
    <t>2024Q2</t>
  </si>
  <si>
    <t>2024Q3</t>
  </si>
  <si>
    <t>2024Q4</t>
  </si>
  <si>
    <t xml:space="preserve"> </t>
  </si>
  <si>
    <t>Q3 2021</t>
  </si>
  <si>
    <t>Q4 2021</t>
  </si>
  <si>
    <t>Q4 2022</t>
  </si>
  <si>
    <t>Technical Questions</t>
  </si>
  <si>
    <t>1. How different are the customers?</t>
  </si>
  <si>
    <t>Customer behavior differs significantly across segments. The decile analysis shows a strong concentration of value among a small group of customers. The top 10% of customers generate approximately 29% of all transactions and around 40% of total profits. In contrast, the bottom 50% of customers contribute only about 15% of the company’s total profit. This indicates strong customer heterogeneity, where a relatively small segment of high-value customers generates a disproportionate share of revenue and profitability.</t>
  </si>
  <si>
    <t>2. How does their behavior evolve over time?</t>
  </si>
  <si>
    <t>The cohort analysis shows that customer activity generally decreases over time after the first purchase. Customers tend to be most active shortly after their first transaction, with the highest number of purchases occurring in the early quarters. Over time, the level of activity declines as some customers stop purchasing or buy less frequently. This pattern is typical for many retail businesses and highlights the importance of customer retention strategies.</t>
  </si>
  <si>
    <t>3. Are different cohorts behaving differently?</t>
  </si>
  <si>
    <t>Yes, different cohorts show noticeable behavioral differences. Some cohorts demonstrate higher spending levels and more consistent purchasing activity over time, while others show a faster decline in activity. These differences may reflect changes in marketing strategies, customer acquisition channels, or broader market conditions at the time the customers were acquired.</t>
  </si>
  <si>
    <t>4. How healthy is the company customer base?</t>
  </si>
  <si>
    <t>The customer base shows both strengths and potential risks. On one hand, the company has a group of highly valuable customers who generate a significant share of profits. On the other hand, the strong concentration of profitability in a small segment suggests that the business may be highly dependent on these customers. If their purchasing behavior changes, it could significantly impact overall profitability.</t>
  </si>
  <si>
    <t>Higher Level Questions</t>
  </si>
  <si>
    <t>How many customers does KazMarket really have?</t>
  </si>
  <si>
    <t>A realistic definition of a customer should include individuals who made at least one purchase during the analyzed period. Based on the dataset, approximately 31,797 customers represent a 10% sample of the total transactional customer base. This suggests that the company serves roughly 320,000 active customers. Defining customers based on recent purchase activity provides a more accurate representation of the current customer base.</t>
  </si>
  <si>
    <t>What behaviors explain the differences between the most and least profitable customers?</t>
  </si>
  <si>
    <t>The most profitable customers differ from the least profitable primarily in transaction frequency and spending levels. The top decile customers make significantly more purchases, with an average order frequency of about 5.5 transactions per customer, compared to only one transaction among the lowest decile. They also have higher average order values and overall spending levels. In contrast, the least profitable customers tend to make only one purchase and spend considerably less, resulting in minimal contribution to overall profits.</t>
  </si>
  <si>
    <t>How do you evaluate the health of KazMarket’s customer base?</t>
  </si>
  <si>
    <t>The customer base appears moderately healthy but somewhat concentrated. A strong group of loyal and high-spending customers provides a solid revenue foundation. However, the heavy reliance on a small segment of customers indicates potential vulnerability if these customers reduce their spending or switch to competitors.</t>
  </si>
  <si>
    <t>One strength and one weakness of the customer base</t>
  </si>
  <si>
    <t>One major strength of KazMarket’s customer base is the presence of highly valuable customers who purchase frequently and generate substantial profits. These customers provide stability and predictable revenue streams.</t>
  </si>
  <si>
    <t>A key weakness is the strong concentration of profits among a relatively small group of customers. This dependence increases business risk and highlights the importance of developing strategies to expand and retain the broader customer base.</t>
  </si>
  <si>
    <t>How do you evaluate KazMarket’s potential for growth?</t>
  </si>
  <si>
    <t>KazMarket has strong growth potential if it can increase engagement among mid-tier and lower-tier customers. By encouraging repeat purchases and increasing average order values among these segments, the company could significantly expand its revenue base while reducing its dependence on the top customer segment.</t>
  </si>
  <si>
    <t>What other analyses would you conduct with the transactional data?</t>
  </si>
  <si>
    <t>Additional analyses could provide deeper insights into customer behavior. For example, a detailed retention analysis could help identify the stages at which customers stop purchasing. Customer lifetime value analysis would help estimate the long-term value of different customer segments. Furthermore, analyzing acquisition channels and marketing campaigns could reveal which strategies attract the most valuable customers.</t>
  </si>
  <si>
    <t>Pre-2021</t>
  </si>
  <si>
    <t>Table 4 Yearly summaries for all cohorts of customers, including those acquired before 2021</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</si>
</sst>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
    <numFmt numFmtId="165" formatCode="[$$-409]#,##0"/>
    <numFmt numFmtId="166" formatCode="_(* #,##0_);_(* \(#,##0\);_(* &quot;-&quot;??_);_(@_)"/>
    <numFmt numFmtId="167" formatCode="_(* #,##0.0_);_(* \(#,##0.0\);_(* &quot;-&quot;??_);_(@_)"/>
  </numFmts>
  <fonts count="11">
    <font>
      <sz val="10.0"/>
      <color rgb="FF000000"/>
      <name val="Arial"/>
      <scheme val="minor"/>
    </font>
    <font>
      <sz val="11.0"/>
      <color theme="1"/>
      <name val="Calibri"/>
    </font>
    <font>
      <color theme="1"/>
      <name val="Arial"/>
    </font>
    <font>
      <sz val="14.0"/>
      <color rgb="FF0070C0"/>
      <name val="Calibri"/>
    </font>
    <font>
      <b/>
      <sz val="11.0"/>
      <color rgb="FFC00000"/>
      <name val="Calibri"/>
    </font>
    <font>
      <sz val="11.0"/>
      <color rgb="FF000000"/>
      <name val="Calibri"/>
    </font>
    <font>
      <u/>
      <sz val="11.0"/>
      <color theme="1"/>
      <name val="Calibri"/>
    </font>
    <font>
      <b/>
      <sz val="10.0"/>
      <color theme="1"/>
      <name val="Arial"/>
      <scheme val="minor"/>
    </font>
    <font>
      <sz val="10.0"/>
      <color theme="1"/>
      <name val="Arial"/>
      <scheme val="minor"/>
    </font>
    <font>
      <sz val="11.0"/>
      <color rgb="FFC00000"/>
      <name val="Calibri"/>
    </font>
    <font>
      <b/>
      <color theme="1"/>
      <name val="Calibri"/>
    </font>
  </fonts>
  <fills count="4">
    <fill>
      <patternFill patternType="none"/>
    </fill>
    <fill>
      <patternFill patternType="lightGray"/>
    </fill>
    <fill>
      <patternFill patternType="solid">
        <fgColor rgb="FFFFFFFF"/>
        <bgColor rgb="FFFFFFFF"/>
      </patternFill>
    </fill>
    <fill>
      <patternFill patternType="solid">
        <fgColor rgb="FFE7E6E6"/>
        <bgColor rgb="FFE7E6E6"/>
      </patternFill>
    </fill>
  </fills>
  <borders count="20">
    <border/>
    <border>
      <left style="thin">
        <color rgb="FF000000"/>
      </left>
      <right style="thin">
        <color rgb="FF000000"/>
      </right>
      <top style="thin">
        <color rgb="FF000000"/>
      </top>
      <bottom style="thin">
        <color rgb="FF000000"/>
      </bottom>
    </border>
    <border>
      <bottom style="double">
        <color theme="1"/>
      </bottom>
    </border>
    <border>
      <left/>
      <right/>
      <top/>
      <bottom/>
    </border>
    <border>
      <left/>
      <right/>
      <top/>
      <bottom style="double">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border>
    <border>
      <left/>
      <right/>
      <top/>
      <bottom style="medium">
        <color rgb="FF000000"/>
      </bottom>
    </border>
    <border>
      <left/>
      <right style="thin">
        <color rgb="FF000000"/>
      </right>
      <top/>
      <bottom style="medium">
        <color rgb="FF000000"/>
      </bottom>
    </border>
    <border>
      <left/>
      <right style="thin">
        <color rgb="FF000000"/>
      </right>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s>
  <cellStyleXfs count="1">
    <xf borderId="0" fillId="0" fontId="0" numFmtId="0" applyAlignment="1" applyFont="1"/>
  </cellStyleXfs>
  <cellXfs count="78">
    <xf borderId="0" fillId="0" fontId="0" numFmtId="0" xfId="0" applyAlignment="1" applyFont="1">
      <alignment readingOrder="0" shrinkToFit="0" vertical="bottom" wrapText="0"/>
    </xf>
    <xf borderId="1" fillId="2" fontId="1" numFmtId="0" xfId="0" applyAlignment="1" applyBorder="1" applyFill="1" applyFont="1">
      <alignment horizontal="right" vertical="bottom"/>
    </xf>
    <xf borderId="0" fillId="0" fontId="2" numFmtId="0" xfId="0" applyAlignment="1" applyFont="1">
      <alignment vertical="bottom"/>
    </xf>
    <xf borderId="1" fillId="2" fontId="1" numFmtId="3" xfId="0" applyAlignment="1" applyBorder="1" applyFont="1" applyNumberFormat="1">
      <alignment horizontal="right" vertical="bottom"/>
    </xf>
    <xf borderId="1" fillId="2" fontId="1" numFmtId="4" xfId="0" applyAlignment="1" applyBorder="1" applyFont="1" applyNumberFormat="1">
      <alignment horizontal="right" vertical="bottom"/>
    </xf>
    <xf borderId="1" fillId="2" fontId="1" numFmtId="164" xfId="0" applyAlignment="1" applyBorder="1" applyFont="1" applyNumberFormat="1">
      <alignment horizontal="right" vertical="bottom"/>
    </xf>
    <xf borderId="1" fillId="2" fontId="1" numFmtId="165" xfId="0" applyAlignment="1" applyBorder="1" applyFont="1" applyNumberFormat="1">
      <alignment horizontal="right" vertical="bottom"/>
    </xf>
    <xf borderId="1" fillId="2" fontId="1" numFmtId="9" xfId="0" applyAlignment="1" applyBorder="1" applyFont="1" applyNumberFormat="1">
      <alignment horizontal="right" vertical="bottom"/>
    </xf>
    <xf borderId="1" fillId="2" fontId="2" numFmtId="0" xfId="0" applyAlignment="1" applyBorder="1" applyFont="1">
      <alignment vertical="bottom"/>
    </xf>
    <xf borderId="0" fillId="0" fontId="2" numFmtId="9" xfId="0" applyAlignment="1" applyFont="1" applyNumberFormat="1">
      <alignment vertical="bottom"/>
    </xf>
    <xf borderId="0" fillId="0" fontId="2" numFmtId="4" xfId="0" applyAlignment="1" applyFont="1" applyNumberFormat="1">
      <alignment vertical="bottom"/>
    </xf>
    <xf borderId="0" fillId="0" fontId="2" numFmtId="164" xfId="0" applyAlignment="1" applyFont="1" applyNumberFormat="1">
      <alignment vertical="bottom"/>
    </xf>
    <xf borderId="0" fillId="0" fontId="2" numFmtId="165" xfId="0" applyAlignment="1" applyFont="1" applyNumberFormat="1">
      <alignment vertical="bottom"/>
    </xf>
    <xf borderId="2" fillId="0" fontId="2" numFmtId="0" xfId="0" applyAlignment="1" applyBorder="1" applyFont="1">
      <alignment vertical="bottom"/>
    </xf>
    <xf borderId="2" fillId="0" fontId="2" numFmtId="9" xfId="0" applyAlignment="1" applyBorder="1" applyFont="1" applyNumberFormat="1">
      <alignment vertical="bottom"/>
    </xf>
    <xf borderId="2" fillId="0" fontId="2" numFmtId="4" xfId="0" applyAlignment="1" applyBorder="1" applyFont="1" applyNumberFormat="1">
      <alignment vertical="bottom"/>
    </xf>
    <xf borderId="2" fillId="0" fontId="2" numFmtId="164" xfId="0" applyAlignment="1" applyBorder="1" applyFont="1" applyNumberFormat="1">
      <alignment vertical="bottom"/>
    </xf>
    <xf borderId="2" fillId="0" fontId="2" numFmtId="165" xfId="0" applyAlignment="1" applyBorder="1" applyFont="1" applyNumberFormat="1">
      <alignment vertical="bottom"/>
    </xf>
    <xf borderId="1" fillId="2" fontId="1" numFmtId="0" xfId="0" applyAlignment="1" applyBorder="1" applyFont="1">
      <alignment horizontal="right" shrinkToFit="0" vertical="bottom" wrapText="1"/>
    </xf>
    <xf borderId="1" fillId="2" fontId="1" numFmtId="10" xfId="0" applyAlignment="1" applyBorder="1" applyFont="1" applyNumberFormat="1">
      <alignment horizontal="right" shrinkToFit="0" vertical="bottom" wrapText="1"/>
    </xf>
    <xf borderId="1" fillId="0" fontId="1" numFmtId="164" xfId="0" applyAlignment="1" applyBorder="1" applyFont="1" applyNumberFormat="1">
      <alignment horizontal="right" shrinkToFit="0" vertical="bottom" wrapText="1"/>
    </xf>
    <xf borderId="1" fillId="2" fontId="2" numFmtId="10" xfId="0" applyAlignment="1" applyBorder="1" applyFont="1" applyNumberFormat="1">
      <alignment horizontal="right" vertical="bottom"/>
    </xf>
    <xf borderId="1" fillId="0" fontId="2" numFmtId="164" xfId="0" applyAlignment="1" applyBorder="1" applyFont="1" applyNumberFormat="1">
      <alignment horizontal="right" vertical="bottom"/>
    </xf>
    <xf borderId="0" fillId="0" fontId="2" numFmtId="10" xfId="0" applyAlignment="1" applyFont="1" applyNumberFormat="1">
      <alignment vertical="bottom"/>
    </xf>
    <xf borderId="0" fillId="0" fontId="2" numFmtId="0" xfId="0" applyAlignment="1" applyFont="1">
      <alignment readingOrder="0" vertical="bottom"/>
    </xf>
    <xf borderId="0" fillId="0" fontId="3" numFmtId="0" xfId="0" applyAlignment="1" applyFont="1">
      <alignment vertical="bottom"/>
    </xf>
    <xf borderId="0" fillId="0" fontId="4" numFmtId="0" xfId="0" applyAlignment="1" applyFont="1">
      <alignment horizontal="center" vertical="bottom"/>
    </xf>
    <xf borderId="3" fillId="3" fontId="1" numFmtId="0" xfId="0" applyAlignment="1" applyBorder="1" applyFill="1" applyFont="1">
      <alignment horizontal="right" shrinkToFit="0" vertical="bottom" wrapText="1"/>
    </xf>
    <xf borderId="3" fillId="3" fontId="1" numFmtId="4" xfId="0" applyAlignment="1" applyBorder="1" applyFont="1" applyNumberFormat="1">
      <alignment horizontal="right" shrinkToFit="0" vertical="bottom" wrapText="1"/>
    </xf>
    <xf borderId="3" fillId="3" fontId="1" numFmtId="0" xfId="0" applyAlignment="1" applyBorder="1" applyFont="1">
      <alignment horizontal="right" vertical="bottom"/>
    </xf>
    <xf borderId="3" fillId="3" fontId="1" numFmtId="3" xfId="0" applyAlignment="1" applyBorder="1" applyFont="1" applyNumberFormat="1">
      <alignment horizontal="right" vertical="bottom"/>
    </xf>
    <xf borderId="3" fillId="3" fontId="1" numFmtId="4" xfId="0" applyAlignment="1" applyBorder="1" applyFont="1" applyNumberFormat="1">
      <alignment horizontal="right" vertical="bottom"/>
    </xf>
    <xf borderId="3" fillId="3" fontId="2" numFmtId="0" xfId="0" applyAlignment="1" applyBorder="1" applyFont="1">
      <alignment vertical="bottom"/>
    </xf>
    <xf borderId="3" fillId="3" fontId="2" numFmtId="3" xfId="0" applyAlignment="1" applyBorder="1" applyFont="1" applyNumberFormat="1">
      <alignment vertical="bottom"/>
    </xf>
    <xf borderId="4" fillId="3" fontId="1" numFmtId="0" xfId="0" applyAlignment="1" applyBorder="1" applyFont="1">
      <alignment horizontal="right" vertical="bottom"/>
    </xf>
    <xf borderId="4" fillId="3" fontId="1" numFmtId="3" xfId="0" applyAlignment="1" applyBorder="1" applyFont="1" applyNumberFormat="1">
      <alignment horizontal="right" vertical="bottom"/>
    </xf>
    <xf borderId="4" fillId="3" fontId="1" numFmtId="4" xfId="0" applyAlignment="1" applyBorder="1" applyFont="1" applyNumberFormat="1">
      <alignment horizontal="right" vertical="bottom"/>
    </xf>
    <xf borderId="5" fillId="0" fontId="2" numFmtId="0" xfId="0" applyAlignment="1" applyBorder="1" applyFont="1">
      <alignment vertical="bottom"/>
    </xf>
    <xf borderId="6" fillId="0" fontId="2" numFmtId="0" xfId="0" applyAlignment="1" applyBorder="1" applyFont="1">
      <alignment vertical="bottom"/>
    </xf>
    <xf borderId="7" fillId="0" fontId="2" numFmtId="0" xfId="0" applyAlignment="1" applyBorder="1" applyFont="1">
      <alignment vertical="bottom"/>
    </xf>
    <xf borderId="8" fillId="0" fontId="2" numFmtId="0" xfId="0" applyAlignment="1" applyBorder="1" applyFont="1">
      <alignment vertical="bottom"/>
    </xf>
    <xf borderId="9" fillId="0" fontId="2" numFmtId="0" xfId="0" applyAlignment="1" applyBorder="1" applyFont="1">
      <alignment vertical="bottom"/>
    </xf>
    <xf borderId="1" fillId="0" fontId="1" numFmtId="0" xfId="0" applyAlignment="1" applyBorder="1" applyFont="1">
      <alignment shrinkToFit="0" vertical="bottom" wrapText="1"/>
    </xf>
    <xf borderId="1" fillId="0" fontId="1" numFmtId="0" xfId="0" applyAlignment="1" applyBorder="1" applyFont="1">
      <alignment horizontal="right" vertical="bottom"/>
    </xf>
    <xf borderId="1" fillId="0" fontId="1" numFmtId="166" xfId="0" applyAlignment="1" applyBorder="1" applyFont="1" applyNumberFormat="1">
      <alignment horizontal="right" vertical="bottom"/>
    </xf>
    <xf borderId="1" fillId="0" fontId="1" numFmtId="9" xfId="0" applyAlignment="1" applyBorder="1" applyFont="1" applyNumberFormat="1">
      <alignment horizontal="right" vertical="bottom"/>
    </xf>
    <xf borderId="1" fillId="0" fontId="1" numFmtId="1" xfId="0" applyAlignment="1" applyBorder="1" applyFont="1" applyNumberFormat="1">
      <alignment horizontal="right" vertical="bottom"/>
    </xf>
    <xf borderId="1" fillId="0" fontId="1" numFmtId="164" xfId="0" applyAlignment="1" applyBorder="1" applyFont="1" applyNumberFormat="1">
      <alignment horizontal="right" vertical="bottom"/>
    </xf>
    <xf borderId="1" fillId="0" fontId="2" numFmtId="0" xfId="0" applyAlignment="1" applyBorder="1" applyFont="1">
      <alignment vertical="bottom"/>
    </xf>
    <xf borderId="1" fillId="0" fontId="2" numFmtId="167" xfId="0" applyAlignment="1" applyBorder="1" applyFont="1" applyNumberFormat="1">
      <alignment vertical="bottom"/>
    </xf>
    <xf borderId="1" fillId="0" fontId="2" numFmtId="166" xfId="0" applyAlignment="1" applyBorder="1" applyFont="1" applyNumberFormat="1">
      <alignment vertical="bottom"/>
    </xf>
    <xf borderId="1" fillId="0" fontId="2" numFmtId="9" xfId="0" applyAlignment="1" applyBorder="1" applyFont="1" applyNumberFormat="1">
      <alignment vertical="bottom"/>
    </xf>
    <xf borderId="1" fillId="0" fontId="2" numFmtId="164" xfId="0" applyAlignment="1" applyBorder="1" applyFont="1" applyNumberFormat="1">
      <alignment vertical="bottom"/>
    </xf>
    <xf borderId="1" fillId="0" fontId="5" numFmtId="0" xfId="0" applyAlignment="1" applyBorder="1" applyFont="1">
      <alignment horizontal="right" readingOrder="0" vertical="bottom"/>
    </xf>
    <xf borderId="1" fillId="0" fontId="1" numFmtId="0" xfId="0" applyAlignment="1" applyBorder="1" applyFont="1">
      <alignment horizontal="center" vertical="bottom"/>
    </xf>
    <xf borderId="1" fillId="0" fontId="2" numFmtId="1" xfId="0" applyAlignment="1" applyBorder="1" applyFont="1" applyNumberFormat="1">
      <alignment vertical="bottom"/>
    </xf>
    <xf borderId="1" fillId="0" fontId="6" numFmtId="0" xfId="0" applyAlignment="1" applyBorder="1" applyFont="1">
      <alignment horizontal="center" vertical="bottom"/>
    </xf>
    <xf borderId="0" fillId="0" fontId="7" numFmtId="0" xfId="0" applyAlignment="1" applyFont="1">
      <alignment readingOrder="0"/>
    </xf>
    <xf borderId="0" fillId="0" fontId="7" numFmtId="0" xfId="0" applyFont="1"/>
    <xf borderId="0" fillId="0" fontId="8" numFmtId="0" xfId="0" applyAlignment="1" applyFont="1">
      <alignment readingOrder="0"/>
    </xf>
    <xf borderId="0" fillId="0" fontId="8" numFmtId="0" xfId="0" applyFont="1"/>
    <xf borderId="10" fillId="2" fontId="9" numFmtId="0" xfId="0" applyAlignment="1" applyBorder="1" applyFont="1">
      <alignment vertical="bottom"/>
    </xf>
    <xf borderId="11" fillId="2" fontId="2" numFmtId="0" xfId="0" applyAlignment="1" applyBorder="1" applyFont="1">
      <alignment vertical="bottom"/>
    </xf>
    <xf borderId="12" fillId="2" fontId="2" numFmtId="0" xfId="0" applyAlignment="1" applyBorder="1" applyFont="1">
      <alignment vertical="bottom"/>
    </xf>
    <xf borderId="13" fillId="2" fontId="2" numFmtId="0" xfId="0" applyAlignment="1" applyBorder="1" applyFont="1">
      <alignment vertical="bottom"/>
    </xf>
    <xf borderId="14" fillId="2" fontId="1" numFmtId="0" xfId="0" applyAlignment="1" applyBorder="1" applyFont="1">
      <alignment horizontal="right" vertical="bottom"/>
    </xf>
    <xf borderId="15" fillId="2" fontId="1" numFmtId="0" xfId="0" applyAlignment="1" applyBorder="1" applyFont="1">
      <alignment horizontal="right" vertical="bottom"/>
    </xf>
    <xf borderId="13" fillId="2" fontId="1" numFmtId="0" xfId="0" applyAlignment="1" applyBorder="1" applyFont="1">
      <alignment horizontal="right" vertical="bottom"/>
    </xf>
    <xf borderId="3" fillId="2" fontId="1" numFmtId="3" xfId="0" applyAlignment="1" applyBorder="1" applyFont="1" applyNumberFormat="1">
      <alignment horizontal="right" vertical="bottom"/>
    </xf>
    <xf borderId="16" fillId="2" fontId="1" numFmtId="3" xfId="0" applyAlignment="1" applyBorder="1" applyFont="1" applyNumberFormat="1">
      <alignment horizontal="right" vertical="bottom"/>
    </xf>
    <xf borderId="3" fillId="2" fontId="2" numFmtId="0" xfId="0" applyAlignment="1" applyBorder="1" applyFont="1">
      <alignment vertical="bottom"/>
    </xf>
    <xf borderId="16" fillId="2" fontId="2" numFmtId="0" xfId="0" applyAlignment="1" applyBorder="1" applyFont="1">
      <alignment vertical="bottom"/>
    </xf>
    <xf borderId="13" fillId="2" fontId="9" numFmtId="0" xfId="0" applyAlignment="1" applyBorder="1" applyFont="1">
      <alignment vertical="bottom"/>
    </xf>
    <xf borderId="3" fillId="2" fontId="2" numFmtId="3" xfId="0" applyAlignment="1" applyBorder="1" applyFont="1" applyNumberFormat="1">
      <alignment vertical="bottom"/>
    </xf>
    <xf borderId="17" fillId="2" fontId="1" numFmtId="0" xfId="0" applyAlignment="1" applyBorder="1" applyFont="1">
      <alignment horizontal="right" vertical="bottom"/>
    </xf>
    <xf borderId="18" fillId="2" fontId="2" numFmtId="3" xfId="0" applyAlignment="1" applyBorder="1" applyFont="1" applyNumberFormat="1">
      <alignment vertical="bottom"/>
    </xf>
    <xf borderId="19" fillId="2" fontId="1" numFmtId="3" xfId="0" applyAlignment="1" applyBorder="1" applyFont="1" applyNumberFormat="1">
      <alignment horizontal="right" vertical="bottom"/>
    </xf>
    <xf borderId="0" fillId="0" fontId="10"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Avg spend/cust vs. Decile</a:t>
            </a:r>
          </a:p>
        </c:rich>
      </c:tx>
      <c:overlay val="0"/>
    </c:title>
    <c:plotArea>
      <c:layout/>
      <c:lineChart>
        <c:varyColors val="0"/>
        <c:ser>
          <c:idx val="0"/>
          <c:order val="0"/>
          <c:tx>
            <c:strRef>
              <c:f>'decile 1'!$F$1</c:f>
            </c:strRef>
          </c:tx>
          <c:spPr>
            <a:ln cmpd="sng">
              <a:solidFill>
                <a:srgbClr val="4285F4"/>
              </a:solidFill>
            </a:ln>
          </c:spPr>
          <c:marker>
            <c:symbol val="none"/>
          </c:marker>
          <c:cat>
            <c:strRef>
              <c:f>'decile 1'!$A$2:$A$1000</c:f>
            </c:strRef>
          </c:cat>
          <c:val>
            <c:numRef>
              <c:f>'decile 1'!$F$2:$F$1000</c:f>
              <c:numCache/>
            </c:numRef>
          </c:val>
          <c:smooth val="0"/>
        </c:ser>
        <c:axId val="733771332"/>
        <c:axId val="1378073953"/>
      </c:lineChart>
      <c:catAx>
        <c:axId val="7337713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Decile</a:t>
                </a:r>
              </a:p>
            </c:rich>
          </c:tx>
          <c:overlay val="0"/>
        </c:title>
        <c:numFmt formatCode="General" sourceLinked="1"/>
        <c:majorTickMark val="none"/>
        <c:minorTickMark val="none"/>
        <c:spPr/>
        <c:txPr>
          <a:bodyPr/>
          <a:lstStyle/>
          <a:p>
            <a:pPr lvl="0">
              <a:defRPr b="0">
                <a:solidFill>
                  <a:srgbClr val="000000"/>
                </a:solidFill>
                <a:latin typeface="+mn-lt"/>
              </a:defRPr>
            </a:pPr>
          </a:p>
        </c:txPr>
        <c:crossAx val="1378073953"/>
      </c:catAx>
      <c:valAx>
        <c:axId val="13780739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Avg spend/cust</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377133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Revenue vs. Decile</a:t>
            </a:r>
          </a:p>
        </c:rich>
      </c:tx>
      <c:overlay val="0"/>
    </c:title>
    <c:plotArea>
      <c:layout/>
      <c:barChart>
        <c:barDir val="col"/>
        <c:ser>
          <c:idx val="0"/>
          <c:order val="0"/>
          <c:tx>
            <c:strRef>
              <c:f>'decile 1'!$D$1</c:f>
            </c:strRef>
          </c:tx>
          <c:spPr>
            <a:solidFill>
              <a:schemeClr val="accent1"/>
            </a:solidFill>
            <a:ln cmpd="sng">
              <a:solidFill>
                <a:srgbClr val="000000"/>
              </a:solidFill>
            </a:ln>
          </c:spPr>
          <c:cat>
            <c:strRef>
              <c:f>'decile 1'!$A$2:$A$11</c:f>
            </c:strRef>
          </c:cat>
          <c:val>
            <c:numRef>
              <c:f>'decile 1'!$D$2:$D$11</c:f>
              <c:numCache/>
            </c:numRef>
          </c:val>
        </c:ser>
        <c:axId val="901329221"/>
        <c:axId val="1938231037"/>
      </c:barChart>
      <c:catAx>
        <c:axId val="9013292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Decile</a:t>
                </a:r>
              </a:p>
            </c:rich>
          </c:tx>
          <c:overlay val="0"/>
        </c:title>
        <c:numFmt formatCode="General" sourceLinked="1"/>
        <c:majorTickMark val="none"/>
        <c:minorTickMark val="none"/>
        <c:spPr/>
        <c:txPr>
          <a:bodyPr/>
          <a:lstStyle/>
          <a:p>
            <a:pPr lvl="0">
              <a:defRPr b="0">
                <a:solidFill>
                  <a:srgbClr val="000000"/>
                </a:solidFill>
                <a:latin typeface="+mn-lt"/>
              </a:defRPr>
            </a:pPr>
          </a:p>
        </c:txPr>
        <c:crossAx val="1938231037"/>
      </c:catAx>
      <c:valAx>
        <c:axId val="19382310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Revenue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132922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Profit vs. Decile</a:t>
            </a:r>
          </a:p>
        </c:rich>
      </c:tx>
      <c:overlay val="0"/>
    </c:title>
    <c:plotArea>
      <c:layout/>
      <c:barChart>
        <c:barDir val="col"/>
        <c:ser>
          <c:idx val="0"/>
          <c:order val="0"/>
          <c:tx>
            <c:strRef>
              <c:f>'decile 1'!$E$1</c:f>
            </c:strRef>
          </c:tx>
          <c:spPr>
            <a:solidFill>
              <a:schemeClr val="accent1"/>
            </a:solidFill>
            <a:ln cmpd="sng">
              <a:solidFill>
                <a:srgbClr val="000000"/>
              </a:solidFill>
            </a:ln>
          </c:spPr>
          <c:cat>
            <c:strRef>
              <c:f>'decile 1'!$A$2:$A$11</c:f>
            </c:strRef>
          </c:cat>
          <c:val>
            <c:numRef>
              <c:f>'decile 1'!$E$2:$E$11</c:f>
              <c:numCache/>
            </c:numRef>
          </c:val>
        </c:ser>
        <c:axId val="1144304836"/>
        <c:axId val="115429272"/>
      </c:barChart>
      <c:catAx>
        <c:axId val="11443048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Decile</a:t>
                </a:r>
              </a:p>
            </c:rich>
          </c:tx>
          <c:overlay val="0"/>
        </c:title>
        <c:numFmt formatCode="General" sourceLinked="1"/>
        <c:majorTickMark val="none"/>
        <c:minorTickMark val="none"/>
        <c:spPr/>
        <c:txPr>
          <a:bodyPr/>
          <a:lstStyle/>
          <a:p>
            <a:pPr lvl="0">
              <a:defRPr b="0">
                <a:solidFill>
                  <a:srgbClr val="000000"/>
                </a:solidFill>
                <a:latin typeface="+mn-lt"/>
              </a:defRPr>
            </a:pPr>
          </a:p>
        </c:txPr>
        <c:crossAx val="115429272"/>
      </c:catAx>
      <c:valAx>
        <c:axId val="1154292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Profit</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430483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AOF vs. Decile</a:t>
            </a:r>
          </a:p>
        </c:rich>
      </c:tx>
      <c:overlay val="0"/>
    </c:title>
    <c:plotArea>
      <c:layout/>
      <c:barChart>
        <c:barDir val="bar"/>
        <c:ser>
          <c:idx val="0"/>
          <c:order val="0"/>
          <c:tx>
            <c:strRef>
              <c:f>'decile 1'!$H$1</c:f>
            </c:strRef>
          </c:tx>
          <c:spPr>
            <a:solidFill>
              <a:schemeClr val="accent1"/>
            </a:solidFill>
            <a:ln cmpd="sng">
              <a:solidFill>
                <a:srgbClr val="000000"/>
              </a:solidFill>
            </a:ln>
          </c:spPr>
          <c:cat>
            <c:strRef>
              <c:f>'decile 1'!$A$2:$A$11</c:f>
            </c:strRef>
          </c:cat>
          <c:val>
            <c:numRef>
              <c:f>'decile 1'!$H$2:$H$11</c:f>
              <c:numCache/>
            </c:numRef>
          </c:val>
        </c:ser>
        <c:axId val="1398521921"/>
        <c:axId val="1141770789"/>
      </c:barChart>
      <c:catAx>
        <c:axId val="1398521921"/>
        <c:scaling>
          <c:orientation val="maxMin"/>
        </c:scaling>
        <c:delete val="0"/>
        <c:axPos val="l"/>
        <c:title>
          <c:tx>
            <c:rich>
              <a:bodyPr/>
              <a:lstStyle/>
              <a:p>
                <a:pPr lvl="0">
                  <a:defRPr b="0">
                    <a:solidFill>
                      <a:srgbClr val="000000"/>
                    </a:solidFill>
                    <a:latin typeface="+mn-lt"/>
                  </a:defRPr>
                </a:pPr>
                <a:r>
                  <a:rPr b="0">
                    <a:solidFill>
                      <a:srgbClr val="000000"/>
                    </a:solidFill>
                    <a:latin typeface="+mn-lt"/>
                  </a:rPr>
                  <a:t>Decile</a:t>
                </a:r>
              </a:p>
            </c:rich>
          </c:tx>
          <c:overlay val="0"/>
        </c:title>
        <c:numFmt formatCode="General" sourceLinked="1"/>
        <c:majorTickMark val="none"/>
        <c:minorTickMark val="none"/>
        <c:spPr/>
        <c:txPr>
          <a:bodyPr/>
          <a:lstStyle/>
          <a:p>
            <a:pPr lvl="0">
              <a:defRPr b="0">
                <a:solidFill>
                  <a:srgbClr val="000000"/>
                </a:solidFill>
                <a:latin typeface="+mn-lt"/>
              </a:defRPr>
            </a:pPr>
          </a:p>
        </c:txPr>
        <c:crossAx val="1141770789"/>
      </c:catAx>
      <c:valAx>
        <c:axId val="114177078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AOF</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8521921"/>
        <c:crosses val="max"/>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'3 cohort analysis'!$B$39:$B$41</c:f>
            </c:strRef>
          </c:tx>
          <c:spPr>
            <a:ln cmpd="sng">
              <a:solidFill>
                <a:srgbClr val="4285F4"/>
              </a:solidFill>
            </a:ln>
          </c:spPr>
          <c:marker>
            <c:symbol val="none"/>
          </c:marker>
          <c:cat>
            <c:strRef>
              <c:f>'3 cohort analysis'!$A$42:$A$58</c:f>
            </c:strRef>
          </c:cat>
          <c:val>
            <c:numRef>
              <c:f>'3 cohort analysis'!$B$42:$B$58</c:f>
              <c:numCache/>
            </c:numRef>
          </c:val>
          <c:smooth val="0"/>
        </c:ser>
        <c:ser>
          <c:idx val="1"/>
          <c:order val="1"/>
          <c:tx>
            <c:strRef>
              <c:f>'3 cohort analysis'!$C$39:$C$41</c:f>
            </c:strRef>
          </c:tx>
          <c:spPr>
            <a:ln cmpd="sng">
              <a:solidFill>
                <a:srgbClr val="EA4335"/>
              </a:solidFill>
            </a:ln>
          </c:spPr>
          <c:marker>
            <c:symbol val="none"/>
          </c:marker>
          <c:cat>
            <c:strRef>
              <c:f>'3 cohort analysis'!$A$42:$A$58</c:f>
            </c:strRef>
          </c:cat>
          <c:val>
            <c:numRef>
              <c:f>'3 cohort analysis'!$C$42:$C$58</c:f>
              <c:numCache/>
            </c:numRef>
          </c:val>
          <c:smooth val="0"/>
        </c:ser>
        <c:ser>
          <c:idx val="2"/>
          <c:order val="2"/>
          <c:tx>
            <c:strRef>
              <c:f>'3 cohort analysis'!$D$39:$D$41</c:f>
            </c:strRef>
          </c:tx>
          <c:spPr>
            <a:ln cmpd="sng">
              <a:solidFill>
                <a:srgbClr val="FBBC04"/>
              </a:solidFill>
            </a:ln>
          </c:spPr>
          <c:marker>
            <c:symbol val="none"/>
          </c:marker>
          <c:cat>
            <c:strRef>
              <c:f>'3 cohort analysis'!$A$42:$A$58</c:f>
            </c:strRef>
          </c:cat>
          <c:val>
            <c:numRef>
              <c:f>'3 cohort analysis'!$D$42:$D$58</c:f>
              <c:numCache/>
            </c:numRef>
          </c:val>
          <c:smooth val="0"/>
        </c:ser>
        <c:ser>
          <c:idx val="3"/>
          <c:order val="3"/>
          <c:tx>
            <c:strRef>
              <c:f>'3 cohort analysis'!$E$39:$E$41</c:f>
            </c:strRef>
          </c:tx>
          <c:spPr>
            <a:ln cmpd="sng">
              <a:solidFill>
                <a:srgbClr val="34A853"/>
              </a:solidFill>
            </a:ln>
          </c:spPr>
          <c:marker>
            <c:symbol val="none"/>
          </c:marker>
          <c:cat>
            <c:strRef>
              <c:f>'3 cohort analysis'!$A$42:$A$58</c:f>
            </c:strRef>
          </c:cat>
          <c:val>
            <c:numRef>
              <c:f>'3 cohort analysis'!$E$42:$E$58</c:f>
              <c:numCache/>
            </c:numRef>
          </c:val>
          <c:smooth val="0"/>
        </c:ser>
        <c:ser>
          <c:idx val="4"/>
          <c:order val="4"/>
          <c:tx>
            <c:strRef>
              <c:f>'3 cohort analysis'!$F$39:$F$41</c:f>
            </c:strRef>
          </c:tx>
          <c:spPr>
            <a:ln cmpd="sng">
              <a:solidFill>
                <a:srgbClr val="FF6D01"/>
              </a:solidFill>
            </a:ln>
          </c:spPr>
          <c:marker>
            <c:symbol val="none"/>
          </c:marker>
          <c:cat>
            <c:strRef>
              <c:f>'3 cohort analysis'!$A$42:$A$58</c:f>
            </c:strRef>
          </c:cat>
          <c:val>
            <c:numRef>
              <c:f>'3 cohort analysis'!$F$42:$F$58</c:f>
              <c:numCache/>
            </c:numRef>
          </c:val>
          <c:smooth val="0"/>
        </c:ser>
        <c:ser>
          <c:idx val="5"/>
          <c:order val="5"/>
          <c:tx>
            <c:strRef>
              <c:f>'3 cohort analysis'!$G$39:$G$41</c:f>
            </c:strRef>
          </c:tx>
          <c:spPr>
            <a:ln cmpd="sng">
              <a:solidFill>
                <a:srgbClr val="46BDC6"/>
              </a:solidFill>
            </a:ln>
          </c:spPr>
          <c:marker>
            <c:symbol val="none"/>
          </c:marker>
          <c:cat>
            <c:strRef>
              <c:f>'3 cohort analysis'!$A$42:$A$58</c:f>
            </c:strRef>
          </c:cat>
          <c:val>
            <c:numRef>
              <c:f>'3 cohort analysis'!$G$42:$G$58</c:f>
              <c:numCache/>
            </c:numRef>
          </c:val>
          <c:smooth val="0"/>
        </c:ser>
        <c:ser>
          <c:idx val="6"/>
          <c:order val="6"/>
          <c:tx>
            <c:strRef>
              <c:f>'3 cohort analysis'!$H$39:$H$41</c:f>
            </c:strRef>
          </c:tx>
          <c:spPr>
            <a:ln cmpd="sng">
              <a:solidFill>
                <a:srgbClr val="7BAAF7"/>
              </a:solidFill>
            </a:ln>
          </c:spPr>
          <c:marker>
            <c:symbol val="none"/>
          </c:marker>
          <c:cat>
            <c:strRef>
              <c:f>'3 cohort analysis'!$A$42:$A$58</c:f>
            </c:strRef>
          </c:cat>
          <c:val>
            <c:numRef>
              <c:f>'3 cohort analysis'!$H$42:$H$58</c:f>
              <c:numCache/>
            </c:numRef>
          </c:val>
          <c:smooth val="0"/>
        </c:ser>
        <c:ser>
          <c:idx val="7"/>
          <c:order val="7"/>
          <c:tx>
            <c:strRef>
              <c:f>'3 cohort analysis'!$I$39:$I$41</c:f>
            </c:strRef>
          </c:tx>
          <c:spPr>
            <a:ln cmpd="sng">
              <a:solidFill>
                <a:srgbClr val="F07B72"/>
              </a:solidFill>
            </a:ln>
          </c:spPr>
          <c:marker>
            <c:symbol val="none"/>
          </c:marker>
          <c:cat>
            <c:strRef>
              <c:f>'3 cohort analysis'!$A$42:$A$58</c:f>
            </c:strRef>
          </c:cat>
          <c:val>
            <c:numRef>
              <c:f>'3 cohort analysis'!$I$42:$I$58</c:f>
              <c:numCache/>
            </c:numRef>
          </c:val>
          <c:smooth val="0"/>
        </c:ser>
        <c:ser>
          <c:idx val="8"/>
          <c:order val="8"/>
          <c:tx>
            <c:strRef>
              <c:f>'3 cohort analysis'!$J$39:$J$41</c:f>
            </c:strRef>
          </c:tx>
          <c:spPr>
            <a:ln cmpd="sng">
              <a:solidFill>
                <a:srgbClr val="FCD04F"/>
              </a:solidFill>
            </a:ln>
          </c:spPr>
          <c:marker>
            <c:symbol val="none"/>
          </c:marker>
          <c:cat>
            <c:strRef>
              <c:f>'3 cohort analysis'!$A$42:$A$58</c:f>
            </c:strRef>
          </c:cat>
          <c:val>
            <c:numRef>
              <c:f>'3 cohort analysis'!$J$42:$J$58</c:f>
              <c:numCache/>
            </c:numRef>
          </c:val>
          <c:smooth val="0"/>
        </c:ser>
        <c:axId val="1343464321"/>
        <c:axId val="15197405"/>
      </c:lineChart>
      <c:catAx>
        <c:axId val="13434643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197405"/>
      </c:catAx>
      <c:valAx>
        <c:axId val="151974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346432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Chart5.png"/><Relationship Id="rId2" Type="http://schemas.openxmlformats.org/officeDocument/2006/relationships/image" Target="../media/Chart6.png"/><Relationship Id="rId3" Type="http://schemas.openxmlformats.org/officeDocument/2006/relationships/image" Target="../media/Chart7.png"/><Relationship Id="rId4" Type="http://schemas.openxmlformats.org/officeDocument/2006/relationships/image" Target="../media/Chart8.png"/></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Chart10.png"/><Relationship Id="rId3" Type="http://schemas.openxmlformats.org/officeDocument/2006/relationships/image" Target="../media/Chart11.png"/><Relationship Id="rId4" Type="http://schemas.openxmlformats.org/officeDocument/2006/relationships/image" Target="../media/Chart12.png"/></Relationships>
</file>

<file path=xl/drawings/_rels/drawing5.xml.rels><?xml version="1.0" encoding="UTF-8" standalone="yes"?><Relationships xmlns="http://schemas.openxmlformats.org/package/2006/relationships"><Relationship Id="rId1" Type="http://schemas.openxmlformats.org/officeDocument/2006/relationships/image" Target="../media/Chart13.png"/><Relationship Id="rId2" Type="http://schemas.openxmlformats.org/officeDocument/2006/relationships/image" Target="../media/Chart14.png"/><Relationship Id="rId3" Type="http://schemas.openxmlformats.org/officeDocument/2006/relationships/image" Target="../media/Chart1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247650</xdr:colOff>
      <xdr:row>15</xdr:row>
      <xdr:rowOff>38100</xdr:rowOff>
    </xdr:from>
    <xdr:ext cx="3848100" cy="237172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590550</xdr:colOff>
      <xdr:row>14</xdr:row>
      <xdr:rowOff>142875</xdr:rowOff>
    </xdr:from>
    <xdr:ext cx="4286250" cy="26574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10</xdr:col>
      <xdr:colOff>666750</xdr:colOff>
      <xdr:row>0</xdr:row>
      <xdr:rowOff>0</xdr:rowOff>
    </xdr:from>
    <xdr:ext cx="3848100" cy="237172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10</xdr:col>
      <xdr:colOff>828675</xdr:colOff>
      <xdr:row>13</xdr:row>
      <xdr:rowOff>114300</xdr:rowOff>
    </xdr:from>
    <xdr:ext cx="4200525" cy="25908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704850</xdr:colOff>
      <xdr:row>0</xdr:row>
      <xdr:rowOff>104775</xdr:rowOff>
    </xdr:from>
    <xdr:ext cx="4524375" cy="2800350"/>
    <xdr:pic>
      <xdr:nvPicPr>
        <xdr:cNvPr id="602901055" name="Chart5"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13</xdr:col>
      <xdr:colOff>733425</xdr:colOff>
      <xdr:row>10</xdr:row>
      <xdr:rowOff>95250</xdr:rowOff>
    </xdr:from>
    <xdr:ext cx="3057525" cy="4257675"/>
    <xdr:pic>
      <xdr:nvPicPr>
        <xdr:cNvPr id="1875607730" name="Chart6"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704850</xdr:colOff>
      <xdr:row>17</xdr:row>
      <xdr:rowOff>57150</xdr:rowOff>
    </xdr:from>
    <xdr:ext cx="4581525" cy="2838450"/>
    <xdr:pic>
      <xdr:nvPicPr>
        <xdr:cNvPr id="795446060" name="Chart7"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9</xdr:col>
      <xdr:colOff>304800</xdr:colOff>
      <xdr:row>16</xdr:row>
      <xdr:rowOff>38100</xdr:rowOff>
    </xdr:from>
    <xdr:ext cx="4581525" cy="3000375"/>
    <xdr:pic>
      <xdr:nvPicPr>
        <xdr:cNvPr id="1471201511" name="Chart8" title="Chart">
          <a:extLst>
            <a:ext uri="GoogleSheetsCustomDataVersion1">
              <go:sheetsCustomData xmlns:go="http://customooxmlschemas.google.com/" pictureOfChart="1"/>
            </a:ext>
          </a:extLst>
        </xdr:cNvPr>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14</xdr:col>
      <xdr:colOff>590550</xdr:colOff>
      <xdr:row>50</xdr:row>
      <xdr:rowOff>209550</xdr:rowOff>
    </xdr:from>
    <xdr:ext cx="4600575" cy="2847975"/>
    <xdr:graphicFrame>
      <xdr:nvGraphicFramePr>
        <xdr:cNvPr id="9" name="Chart 9"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10</xdr:col>
      <xdr:colOff>561975</xdr:colOff>
      <xdr:row>38</xdr:row>
      <xdr:rowOff>38100</xdr:rowOff>
    </xdr:from>
    <xdr:ext cx="4638675" cy="2676525"/>
    <xdr:pic>
      <xdr:nvPicPr>
        <xdr:cNvPr id="1522858099" name="Chart10"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15</xdr:col>
      <xdr:colOff>781050</xdr:colOff>
      <xdr:row>37</xdr:row>
      <xdr:rowOff>161925</xdr:rowOff>
    </xdr:from>
    <xdr:ext cx="4400550" cy="2676525"/>
    <xdr:pic>
      <xdr:nvPicPr>
        <xdr:cNvPr id="1649443737" name="Chart11"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20</xdr:col>
      <xdr:colOff>714375</xdr:colOff>
      <xdr:row>37</xdr:row>
      <xdr:rowOff>171450</xdr:rowOff>
    </xdr:from>
    <xdr:ext cx="4352925" cy="2667000"/>
    <xdr:pic>
      <xdr:nvPicPr>
        <xdr:cNvPr id="730545246" name="Chart12" title="Chart">
          <a:extLst>
            <a:ext uri="GoogleSheetsCustomDataVersion1">
              <go:sheetsCustomData xmlns:go="http://customooxmlschemas.google.com/" pictureOfChart="1"/>
            </a:ext>
          </a:extLst>
        </xdr:cNvPr>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438150</xdr:colOff>
      <xdr:row>0</xdr:row>
      <xdr:rowOff>152400</xdr:rowOff>
    </xdr:from>
    <xdr:ext cx="5095875" cy="2238375"/>
    <xdr:pic>
      <xdr:nvPicPr>
        <xdr:cNvPr id="743207473" name="Chart13"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438150</xdr:colOff>
      <xdr:row>12</xdr:row>
      <xdr:rowOff>57150</xdr:rowOff>
    </xdr:from>
    <xdr:ext cx="5095875" cy="2447925"/>
    <xdr:pic>
      <xdr:nvPicPr>
        <xdr:cNvPr id="361134573" name="Chart14"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438150</xdr:colOff>
      <xdr:row>24</xdr:row>
      <xdr:rowOff>104775</xdr:rowOff>
    </xdr:from>
    <xdr:ext cx="5095875" cy="2924175"/>
    <xdr:pic>
      <xdr:nvPicPr>
        <xdr:cNvPr id="1479074532" name="Chart15"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2"/>
      <c r="L1" s="2"/>
      <c r="M1" s="2"/>
      <c r="N1" s="2"/>
      <c r="O1" s="2"/>
      <c r="P1" s="2"/>
      <c r="Q1" s="2"/>
      <c r="R1" s="2"/>
      <c r="S1" s="2"/>
      <c r="T1" s="2"/>
      <c r="U1" s="2"/>
      <c r="V1" s="2"/>
      <c r="W1" s="2"/>
      <c r="X1" s="2"/>
      <c r="Y1" s="2"/>
      <c r="Z1" s="2"/>
    </row>
    <row r="2">
      <c r="A2" s="1">
        <v>1.0</v>
      </c>
      <c r="B2" s="3">
        <v>3180.0</v>
      </c>
      <c r="C2" s="3">
        <v>17503.0</v>
      </c>
      <c r="D2" s="3">
        <v>1.28952505E8</v>
      </c>
      <c r="E2" s="3">
        <v>6.2160175E7</v>
      </c>
      <c r="F2" s="4">
        <f t="shared" ref="F2:F12" si="2">D2/B2</f>
        <v>40551.1022</v>
      </c>
      <c r="G2" s="4">
        <f t="shared" ref="G2:G12" si="3">E2/B2</f>
        <v>19547.22484</v>
      </c>
      <c r="H2" s="5">
        <f t="shared" ref="H2:J2" si="1">C2/B2</f>
        <v>5.50408805</v>
      </c>
      <c r="I2" s="6">
        <f t="shared" si="1"/>
        <v>7367.45158</v>
      </c>
      <c r="J2" s="7">
        <f t="shared" si="1"/>
        <v>0.4820392981</v>
      </c>
      <c r="K2" s="2"/>
      <c r="L2" s="2"/>
      <c r="M2" s="2"/>
      <c r="N2" s="2"/>
      <c r="O2" s="2"/>
      <c r="P2" s="2"/>
      <c r="Q2" s="2"/>
      <c r="R2" s="2"/>
      <c r="S2" s="2"/>
      <c r="T2" s="2"/>
      <c r="U2" s="2"/>
      <c r="V2" s="2"/>
      <c r="W2" s="2"/>
      <c r="X2" s="2"/>
      <c r="Y2" s="2"/>
      <c r="Z2" s="2"/>
    </row>
    <row r="3">
      <c r="A3" s="1">
        <v>2.0</v>
      </c>
      <c r="B3" s="3">
        <v>3180.0</v>
      </c>
      <c r="C3" s="3">
        <v>8703.0</v>
      </c>
      <c r="D3" s="3">
        <v>5.5542905E7</v>
      </c>
      <c r="E3" s="3">
        <v>2.707903E7</v>
      </c>
      <c r="F3" s="4">
        <f t="shared" si="2"/>
        <v>17466.32233</v>
      </c>
      <c r="G3" s="4">
        <f t="shared" si="3"/>
        <v>8515.418239</v>
      </c>
      <c r="H3" s="5">
        <f t="shared" ref="H3:J3" si="4">C3/B3</f>
        <v>2.736792453</v>
      </c>
      <c r="I3" s="6">
        <f t="shared" si="4"/>
        <v>6382.04125</v>
      </c>
      <c r="J3" s="7">
        <f t="shared" si="4"/>
        <v>0.4875335563</v>
      </c>
      <c r="K3" s="2"/>
      <c r="L3" s="2"/>
      <c r="M3" s="2"/>
      <c r="N3" s="2"/>
      <c r="O3" s="2"/>
      <c r="P3" s="2"/>
      <c r="Q3" s="2"/>
      <c r="R3" s="2"/>
      <c r="S3" s="2"/>
      <c r="T3" s="2"/>
      <c r="U3" s="2"/>
      <c r="V3" s="2"/>
      <c r="W3" s="2"/>
      <c r="X3" s="2"/>
      <c r="Y3" s="2"/>
      <c r="Z3" s="2"/>
    </row>
    <row r="4">
      <c r="A4" s="1">
        <v>3.0</v>
      </c>
      <c r="B4" s="3">
        <v>3177.0</v>
      </c>
      <c r="C4" s="3">
        <v>6345.0</v>
      </c>
      <c r="D4" s="3">
        <v>3.8274225E7</v>
      </c>
      <c r="E4" s="3">
        <v>1.8722055E7</v>
      </c>
      <c r="F4" s="4">
        <f t="shared" si="2"/>
        <v>12047.28517</v>
      </c>
      <c r="G4" s="4">
        <f t="shared" si="3"/>
        <v>5892.998111</v>
      </c>
      <c r="H4" s="5">
        <f t="shared" ref="H4:J4" si="5">C4/B4</f>
        <v>1.997167139</v>
      </c>
      <c r="I4" s="6">
        <f t="shared" si="5"/>
        <v>6032.186761</v>
      </c>
      <c r="J4" s="7">
        <f t="shared" si="5"/>
        <v>0.4891556916</v>
      </c>
      <c r="K4" s="2"/>
      <c r="L4" s="2"/>
      <c r="M4" s="2"/>
      <c r="N4" s="2"/>
      <c r="O4" s="2"/>
      <c r="P4" s="2"/>
      <c r="Q4" s="2"/>
      <c r="R4" s="2"/>
      <c r="S4" s="2"/>
      <c r="T4" s="2"/>
      <c r="U4" s="2"/>
      <c r="V4" s="2"/>
      <c r="W4" s="2"/>
      <c r="X4" s="2"/>
      <c r="Y4" s="2"/>
      <c r="Z4" s="2"/>
    </row>
    <row r="5">
      <c r="A5" s="1">
        <v>4.0</v>
      </c>
      <c r="B5" s="3">
        <v>3178.0</v>
      </c>
      <c r="C5" s="3">
        <v>5349.0</v>
      </c>
      <c r="D5" s="3">
        <v>2.901701E7</v>
      </c>
      <c r="E5" s="3">
        <v>1.3916595E7</v>
      </c>
      <c r="F5" s="4">
        <f t="shared" si="2"/>
        <v>9130.58842</v>
      </c>
      <c r="G5" s="4">
        <f t="shared" si="3"/>
        <v>4379.04185</v>
      </c>
      <c r="H5" s="5">
        <f t="shared" ref="H5:J5" si="6">C5/B5</f>
        <v>1.683134047</v>
      </c>
      <c r="I5" s="6">
        <f t="shared" si="6"/>
        <v>5424.75416</v>
      </c>
      <c r="J5" s="7">
        <f t="shared" si="6"/>
        <v>0.4796012753</v>
      </c>
      <c r="K5" s="2"/>
      <c r="L5" s="2"/>
      <c r="M5" s="2"/>
      <c r="N5" s="2"/>
      <c r="O5" s="2"/>
      <c r="P5" s="2"/>
      <c r="Q5" s="2"/>
      <c r="R5" s="2"/>
      <c r="S5" s="2"/>
      <c r="T5" s="2"/>
      <c r="U5" s="2"/>
      <c r="V5" s="2"/>
      <c r="W5" s="2"/>
      <c r="X5" s="2"/>
      <c r="Y5" s="2"/>
      <c r="Z5" s="2"/>
    </row>
    <row r="6">
      <c r="A6" s="1">
        <v>5.0</v>
      </c>
      <c r="B6" s="3">
        <v>3183.0</v>
      </c>
      <c r="C6" s="3">
        <v>4683.0</v>
      </c>
      <c r="D6" s="3">
        <v>2.2555225E7</v>
      </c>
      <c r="E6" s="3">
        <v>1.0734405E7</v>
      </c>
      <c r="F6" s="4">
        <f t="shared" si="2"/>
        <v>7086.153</v>
      </c>
      <c r="G6" s="4">
        <f t="shared" si="3"/>
        <v>3372.417531</v>
      </c>
      <c r="H6" s="5">
        <f t="shared" ref="H6:J6" si="7">C6/B6</f>
        <v>1.471253534</v>
      </c>
      <c r="I6" s="6">
        <f t="shared" si="7"/>
        <v>4816.405082</v>
      </c>
      <c r="J6" s="7">
        <f t="shared" si="7"/>
        <v>0.4759165559</v>
      </c>
      <c r="K6" s="2"/>
      <c r="L6" s="2"/>
      <c r="M6" s="2"/>
      <c r="N6" s="2"/>
      <c r="O6" s="2"/>
      <c r="P6" s="2"/>
      <c r="Q6" s="2"/>
      <c r="R6" s="2"/>
      <c r="S6" s="2"/>
      <c r="T6" s="2"/>
      <c r="U6" s="2"/>
      <c r="V6" s="2"/>
      <c r="W6" s="2"/>
      <c r="X6" s="2"/>
      <c r="Y6" s="2"/>
      <c r="Z6" s="2"/>
    </row>
    <row r="7">
      <c r="A7" s="1">
        <v>6.0</v>
      </c>
      <c r="B7" s="3">
        <v>3124.0</v>
      </c>
      <c r="C7" s="3">
        <v>4330.0</v>
      </c>
      <c r="D7" s="3">
        <v>1.7169955E7</v>
      </c>
      <c r="E7" s="3">
        <v>7948270.0</v>
      </c>
      <c r="F7" s="4">
        <f t="shared" si="2"/>
        <v>5496.144366</v>
      </c>
      <c r="G7" s="4">
        <f t="shared" si="3"/>
        <v>2544.260563</v>
      </c>
      <c r="H7" s="5">
        <f t="shared" ref="H7:J7" si="8">C7/B7</f>
        <v>1.386043534</v>
      </c>
      <c r="I7" s="6">
        <f t="shared" si="8"/>
        <v>3965.347575</v>
      </c>
      <c r="J7" s="7">
        <f t="shared" si="8"/>
        <v>0.462917346</v>
      </c>
      <c r="K7" s="2"/>
      <c r="L7" s="2"/>
      <c r="M7" s="2"/>
      <c r="N7" s="2"/>
      <c r="O7" s="2"/>
      <c r="P7" s="2"/>
      <c r="Q7" s="2"/>
      <c r="R7" s="2"/>
      <c r="S7" s="2"/>
      <c r="T7" s="2"/>
      <c r="U7" s="2"/>
      <c r="V7" s="2"/>
      <c r="W7" s="2"/>
      <c r="X7" s="2"/>
      <c r="Y7" s="2"/>
      <c r="Z7" s="2"/>
    </row>
    <row r="8">
      <c r="A8" s="1">
        <v>7.0</v>
      </c>
      <c r="B8" s="3">
        <v>3233.0</v>
      </c>
      <c r="C8" s="3">
        <v>4004.0</v>
      </c>
      <c r="D8" s="3">
        <v>1.347071E7</v>
      </c>
      <c r="E8" s="3">
        <v>6240025.0</v>
      </c>
      <c r="F8" s="4">
        <f t="shared" si="2"/>
        <v>4166.628518</v>
      </c>
      <c r="G8" s="4">
        <f t="shared" si="3"/>
        <v>1930.103619</v>
      </c>
      <c r="H8" s="5">
        <f t="shared" ref="H8:J8" si="9">C8/B8</f>
        <v>1.238478194</v>
      </c>
      <c r="I8" s="6">
        <f t="shared" si="9"/>
        <v>3364.313187</v>
      </c>
      <c r="J8" s="7">
        <f t="shared" si="9"/>
        <v>0.4632291097</v>
      </c>
      <c r="K8" s="2"/>
      <c r="L8" s="2"/>
      <c r="M8" s="2"/>
      <c r="N8" s="2"/>
      <c r="O8" s="2"/>
      <c r="P8" s="2"/>
      <c r="Q8" s="2"/>
      <c r="R8" s="2"/>
      <c r="S8" s="2"/>
      <c r="T8" s="2"/>
      <c r="U8" s="2"/>
      <c r="V8" s="2"/>
      <c r="W8" s="2"/>
      <c r="X8" s="2"/>
      <c r="Y8" s="2"/>
      <c r="Z8" s="2"/>
    </row>
    <row r="9">
      <c r="A9" s="1">
        <v>8.0</v>
      </c>
      <c r="B9" s="3">
        <v>2996.0</v>
      </c>
      <c r="C9" s="3">
        <v>3414.0</v>
      </c>
      <c r="D9" s="3">
        <v>9381075.0</v>
      </c>
      <c r="E9" s="3">
        <v>4326685.0</v>
      </c>
      <c r="F9" s="4">
        <f t="shared" si="2"/>
        <v>3131.199933</v>
      </c>
      <c r="G9" s="4">
        <f t="shared" si="3"/>
        <v>1444.153872</v>
      </c>
      <c r="H9" s="5">
        <f t="shared" ref="H9:J9" si="10">C9/B9</f>
        <v>1.139519359</v>
      </c>
      <c r="I9" s="6">
        <f t="shared" si="10"/>
        <v>2747.825132</v>
      </c>
      <c r="J9" s="7">
        <f t="shared" si="10"/>
        <v>0.4612141999</v>
      </c>
      <c r="K9" s="2"/>
      <c r="L9" s="2"/>
      <c r="M9" s="2"/>
      <c r="N9" s="2"/>
      <c r="O9" s="2"/>
      <c r="P9" s="2"/>
      <c r="Q9" s="2"/>
      <c r="R9" s="2"/>
      <c r="S9" s="2"/>
      <c r="T9" s="2"/>
      <c r="U9" s="2"/>
      <c r="V9" s="2"/>
      <c r="W9" s="2"/>
      <c r="X9" s="2"/>
      <c r="Y9" s="2"/>
      <c r="Z9" s="2"/>
    </row>
    <row r="10">
      <c r="A10" s="1">
        <v>9.0</v>
      </c>
      <c r="B10" s="3">
        <v>3360.0</v>
      </c>
      <c r="C10" s="3">
        <v>3659.0</v>
      </c>
      <c r="D10" s="3">
        <v>7496500.0</v>
      </c>
      <c r="E10" s="3">
        <v>3334100.0</v>
      </c>
      <c r="F10" s="4">
        <f t="shared" si="2"/>
        <v>2231.10119</v>
      </c>
      <c r="G10" s="4">
        <f t="shared" si="3"/>
        <v>992.2916667</v>
      </c>
      <c r="H10" s="5">
        <f t="shared" ref="H10:J10" si="11">C10/B10</f>
        <v>1.088988095</v>
      </c>
      <c r="I10" s="6">
        <f t="shared" si="11"/>
        <v>2048.783821</v>
      </c>
      <c r="J10" s="7">
        <f t="shared" si="11"/>
        <v>0.4447542186</v>
      </c>
      <c r="K10" s="2"/>
      <c r="L10" s="2"/>
      <c r="M10" s="2"/>
      <c r="N10" s="2"/>
      <c r="O10" s="2"/>
      <c r="P10" s="2"/>
      <c r="Q10" s="2"/>
      <c r="R10" s="2"/>
      <c r="S10" s="2"/>
      <c r="T10" s="2"/>
      <c r="U10" s="2"/>
      <c r="V10" s="2"/>
      <c r="W10" s="2"/>
      <c r="X10" s="2"/>
      <c r="Y10" s="2"/>
      <c r="Z10" s="2"/>
    </row>
    <row r="11">
      <c r="A11" s="1">
        <v>10.0</v>
      </c>
      <c r="B11" s="3">
        <v>3186.0</v>
      </c>
      <c r="C11" s="3">
        <v>3270.0</v>
      </c>
      <c r="D11" s="3">
        <v>3740550.0</v>
      </c>
      <c r="E11" s="3">
        <v>1554795.0</v>
      </c>
      <c r="F11" s="4">
        <f t="shared" si="2"/>
        <v>1174.05838</v>
      </c>
      <c r="G11" s="4">
        <f t="shared" si="3"/>
        <v>488.0084746</v>
      </c>
      <c r="H11" s="5">
        <f t="shared" ref="H11:J11" si="12">C11/B11</f>
        <v>1.026365348</v>
      </c>
      <c r="I11" s="6">
        <f t="shared" si="12"/>
        <v>1143.899083</v>
      </c>
      <c r="J11" s="7">
        <f t="shared" si="12"/>
        <v>0.4156594618</v>
      </c>
      <c r="K11" s="2"/>
      <c r="L11" s="2"/>
      <c r="M11" s="2"/>
      <c r="N11" s="2"/>
      <c r="O11" s="2"/>
      <c r="P11" s="2"/>
      <c r="Q11" s="2"/>
      <c r="R11" s="2"/>
      <c r="S11" s="2"/>
      <c r="T11" s="2"/>
      <c r="U11" s="2"/>
      <c r="V11" s="2"/>
      <c r="W11" s="2"/>
      <c r="X11" s="2"/>
      <c r="Y11" s="2"/>
      <c r="Z11" s="2"/>
    </row>
    <row r="12">
      <c r="A12" s="8"/>
      <c r="B12" s="3">
        <v>31797.0</v>
      </c>
      <c r="C12" s="3">
        <v>61260.0</v>
      </c>
      <c r="D12" s="3">
        <v>3.2560066E8</v>
      </c>
      <c r="E12" s="3">
        <v>1.56016135E8</v>
      </c>
      <c r="F12" s="4">
        <f t="shared" si="2"/>
        <v>10239.9805</v>
      </c>
      <c r="G12" s="4">
        <f t="shared" si="3"/>
        <v>4906.630657</v>
      </c>
      <c r="H12" s="5">
        <f t="shared" ref="H12:J12" si="13">C12/B12</f>
        <v>1.926596849</v>
      </c>
      <c r="I12" s="6">
        <f t="shared" si="13"/>
        <v>5315.061378</v>
      </c>
      <c r="J12" s="7">
        <f t="shared" si="13"/>
        <v>0.4791640625</v>
      </c>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9"/>
      <c r="C15" s="9"/>
      <c r="D15" s="9"/>
      <c r="E15" s="9"/>
      <c r="F15" s="10"/>
      <c r="G15" s="10"/>
      <c r="H15" s="11"/>
      <c r="I15" s="12"/>
      <c r="J15" s="9"/>
      <c r="K15" s="2"/>
      <c r="L15" s="2"/>
      <c r="M15" s="2"/>
      <c r="N15" s="2"/>
      <c r="O15" s="2"/>
      <c r="P15" s="2"/>
      <c r="Q15" s="2"/>
      <c r="R15" s="2"/>
      <c r="S15" s="2"/>
      <c r="T15" s="2"/>
      <c r="U15" s="2"/>
      <c r="V15" s="2"/>
      <c r="W15" s="2"/>
      <c r="X15" s="2"/>
      <c r="Y15" s="2"/>
      <c r="Z15" s="2"/>
    </row>
    <row r="16">
      <c r="A16" s="2"/>
      <c r="B16" s="9"/>
      <c r="C16" s="9"/>
      <c r="D16" s="9"/>
      <c r="E16" s="9"/>
      <c r="F16" s="10"/>
      <c r="G16" s="10"/>
      <c r="H16" s="11"/>
      <c r="I16" s="12"/>
      <c r="J16" s="9"/>
      <c r="K16" s="2"/>
      <c r="L16" s="2"/>
      <c r="M16" s="2"/>
      <c r="N16" s="2"/>
      <c r="O16" s="2"/>
      <c r="P16" s="2"/>
      <c r="Q16" s="2"/>
      <c r="R16" s="2"/>
      <c r="S16" s="2"/>
      <c r="T16" s="2"/>
      <c r="U16" s="2"/>
      <c r="V16" s="2"/>
      <c r="W16" s="2"/>
      <c r="X16" s="2"/>
      <c r="Y16" s="2"/>
      <c r="Z16" s="2"/>
    </row>
    <row r="17">
      <c r="A17" s="2"/>
      <c r="B17" s="9"/>
      <c r="C17" s="9"/>
      <c r="D17" s="9"/>
      <c r="E17" s="9"/>
      <c r="F17" s="10"/>
      <c r="G17" s="10"/>
      <c r="H17" s="11"/>
      <c r="I17" s="12"/>
      <c r="J17" s="9"/>
      <c r="K17" s="2"/>
      <c r="L17" s="2"/>
      <c r="M17" s="2"/>
      <c r="N17" s="2"/>
      <c r="O17" s="2"/>
      <c r="P17" s="2"/>
      <c r="Q17" s="2"/>
      <c r="R17" s="2"/>
      <c r="S17" s="2"/>
      <c r="T17" s="2"/>
      <c r="U17" s="2"/>
      <c r="V17" s="2"/>
      <c r="W17" s="2"/>
      <c r="X17" s="2"/>
      <c r="Y17" s="2"/>
      <c r="Z17" s="2"/>
    </row>
    <row r="18">
      <c r="A18" s="2"/>
      <c r="B18" s="9"/>
      <c r="C18" s="9"/>
      <c r="D18" s="9"/>
      <c r="E18" s="9"/>
      <c r="F18" s="10"/>
      <c r="G18" s="10"/>
      <c r="H18" s="11"/>
      <c r="I18" s="12"/>
      <c r="J18" s="9"/>
      <c r="K18" s="2"/>
      <c r="L18" s="2"/>
      <c r="M18" s="2"/>
      <c r="N18" s="2"/>
      <c r="O18" s="2"/>
      <c r="P18" s="2"/>
      <c r="Q18" s="2"/>
      <c r="R18" s="2"/>
      <c r="S18" s="2"/>
      <c r="T18" s="2"/>
      <c r="U18" s="2"/>
      <c r="V18" s="2"/>
      <c r="W18" s="2"/>
      <c r="X18" s="2"/>
      <c r="Y18" s="2"/>
      <c r="Z18" s="2"/>
    </row>
    <row r="19">
      <c r="A19" s="2"/>
      <c r="B19" s="9"/>
      <c r="C19" s="9"/>
      <c r="D19" s="9"/>
      <c r="E19" s="9"/>
      <c r="F19" s="10"/>
      <c r="G19" s="10"/>
      <c r="H19" s="11"/>
      <c r="I19" s="12"/>
      <c r="J19" s="9"/>
      <c r="K19" s="2"/>
      <c r="L19" s="2"/>
      <c r="M19" s="2"/>
      <c r="N19" s="2"/>
      <c r="O19" s="2"/>
      <c r="P19" s="2"/>
      <c r="Q19" s="2"/>
      <c r="R19" s="2"/>
      <c r="S19" s="2"/>
      <c r="T19" s="2"/>
      <c r="U19" s="2"/>
      <c r="V19" s="2"/>
      <c r="W19" s="2"/>
      <c r="X19" s="2"/>
      <c r="Y19" s="2"/>
      <c r="Z19" s="2"/>
    </row>
    <row r="20">
      <c r="A20" s="2"/>
      <c r="B20" s="9"/>
      <c r="C20" s="9"/>
      <c r="D20" s="9"/>
      <c r="E20" s="9"/>
      <c r="F20" s="10"/>
      <c r="G20" s="10"/>
      <c r="H20" s="11"/>
      <c r="I20" s="12"/>
      <c r="J20" s="9"/>
      <c r="K20" s="2"/>
      <c r="L20" s="2"/>
      <c r="M20" s="2"/>
      <c r="N20" s="2"/>
      <c r="O20" s="2"/>
      <c r="P20" s="2"/>
      <c r="Q20" s="2"/>
      <c r="R20" s="2"/>
      <c r="S20" s="2"/>
      <c r="T20" s="2"/>
      <c r="U20" s="2"/>
      <c r="V20" s="2"/>
      <c r="W20" s="2"/>
      <c r="X20" s="2"/>
      <c r="Y20" s="2"/>
      <c r="Z20" s="2"/>
    </row>
    <row r="21">
      <c r="A21" s="2"/>
      <c r="B21" s="9"/>
      <c r="C21" s="9"/>
      <c r="D21" s="9"/>
      <c r="E21" s="9"/>
      <c r="F21" s="10"/>
      <c r="G21" s="10"/>
      <c r="H21" s="11"/>
      <c r="I21" s="12"/>
      <c r="J21" s="9"/>
      <c r="K21" s="2"/>
      <c r="L21" s="2"/>
      <c r="M21" s="2"/>
      <c r="N21" s="2"/>
      <c r="O21" s="2"/>
      <c r="P21" s="2"/>
      <c r="Q21" s="2"/>
      <c r="R21" s="2"/>
      <c r="S21" s="2"/>
      <c r="T21" s="2"/>
      <c r="U21" s="2"/>
      <c r="V21" s="2"/>
      <c r="W21" s="2"/>
      <c r="X21" s="2"/>
      <c r="Y21" s="2"/>
      <c r="Z21" s="2"/>
    </row>
    <row r="22">
      <c r="A22" s="2"/>
      <c r="B22" s="9"/>
      <c r="C22" s="9"/>
      <c r="D22" s="9"/>
      <c r="E22" s="9"/>
      <c r="F22" s="10"/>
      <c r="G22" s="10"/>
      <c r="H22" s="11"/>
      <c r="I22" s="12"/>
      <c r="J22" s="9"/>
      <c r="K22" s="2"/>
      <c r="L22" s="2"/>
      <c r="M22" s="2"/>
      <c r="N22" s="2"/>
      <c r="O22" s="2"/>
      <c r="P22" s="2"/>
      <c r="Q22" s="2"/>
      <c r="R22" s="2"/>
      <c r="S22" s="2"/>
      <c r="T22" s="2"/>
      <c r="U22" s="2"/>
      <c r="V22" s="2"/>
      <c r="W22" s="2"/>
      <c r="X22" s="2"/>
      <c r="Y22" s="2"/>
      <c r="Z22" s="2"/>
    </row>
    <row r="23">
      <c r="A23" s="13"/>
      <c r="B23" s="14"/>
      <c r="C23" s="14"/>
      <c r="D23" s="14"/>
      <c r="E23" s="14"/>
      <c r="F23" s="15"/>
      <c r="G23" s="15"/>
      <c r="H23" s="16"/>
      <c r="I23" s="17"/>
      <c r="J23" s="14"/>
      <c r="K23" s="2"/>
      <c r="L23" s="2"/>
      <c r="M23" s="2"/>
      <c r="N23" s="2"/>
      <c r="O23" s="2"/>
      <c r="P23" s="2"/>
      <c r="Q23" s="2"/>
      <c r="R23" s="2"/>
      <c r="S23" s="2"/>
      <c r="T23" s="2"/>
      <c r="U23" s="2"/>
      <c r="V23" s="2"/>
      <c r="W23" s="2"/>
      <c r="X23" s="2"/>
      <c r="Y23" s="2"/>
      <c r="Z23" s="2"/>
    </row>
    <row r="24">
      <c r="A24" s="2"/>
      <c r="B24" s="2"/>
      <c r="C24" s="2"/>
      <c r="D24" s="2"/>
      <c r="E24" s="2"/>
      <c r="F24" s="10"/>
      <c r="G24" s="10"/>
      <c r="H24" s="11"/>
      <c r="I24" s="12"/>
      <c r="J24" s="9"/>
      <c r="K24" s="2"/>
      <c r="L24" s="2"/>
      <c r="M24" s="2"/>
      <c r="N24" s="2"/>
      <c r="O24" s="2"/>
      <c r="P24" s="2"/>
      <c r="Q24" s="2"/>
      <c r="R24" s="2"/>
      <c r="S24" s="2"/>
      <c r="T24" s="2"/>
      <c r="U24" s="2"/>
      <c r="V24" s="2"/>
      <c r="W24" s="2"/>
      <c r="X24" s="2"/>
      <c r="Y24" s="2"/>
      <c r="Z24" s="2"/>
    </row>
    <row r="25">
      <c r="A25" s="2"/>
      <c r="B25" s="2"/>
      <c r="C25" s="2"/>
      <c r="D25" s="2"/>
      <c r="E25" s="2"/>
      <c r="F25" s="2"/>
      <c r="G25" s="2"/>
      <c r="H25" s="2"/>
      <c r="I25" s="2"/>
      <c r="J25" s="2"/>
      <c r="K25" s="2"/>
      <c r="L25" s="2"/>
      <c r="M25" s="2"/>
      <c r="N25" s="2"/>
      <c r="O25" s="2"/>
      <c r="P25" s="2"/>
      <c r="Q25" s="2"/>
      <c r="R25" s="2"/>
      <c r="S25" s="2"/>
      <c r="T25" s="2"/>
      <c r="U25" s="2"/>
      <c r="V25" s="2"/>
      <c r="W25" s="2"/>
      <c r="X25" s="2"/>
      <c r="Y25" s="2"/>
      <c r="Z25" s="2"/>
    </row>
    <row r="26">
      <c r="A26" s="2"/>
      <c r="B26" s="2"/>
      <c r="C26" s="2"/>
      <c r="D26" s="2"/>
      <c r="E26" s="2"/>
      <c r="F26" s="2"/>
      <c r="G26" s="2"/>
      <c r="H26" s="2"/>
      <c r="I26" s="2"/>
      <c r="J26" s="2"/>
      <c r="K26" s="2"/>
      <c r="L26" s="2"/>
      <c r="M26" s="2"/>
      <c r="N26" s="2"/>
      <c r="O26" s="2"/>
      <c r="P26" s="2"/>
      <c r="Q26" s="2"/>
      <c r="R26" s="2"/>
      <c r="S26" s="2"/>
      <c r="T26" s="2"/>
      <c r="U26" s="2"/>
      <c r="V26" s="2"/>
      <c r="W26" s="2"/>
      <c r="X26" s="2"/>
      <c r="Y26" s="2"/>
      <c r="Z26" s="2"/>
    </row>
    <row r="27">
      <c r="A27" s="2"/>
      <c r="B27" s="2"/>
      <c r="C27" s="2"/>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 t="s">
        <v>10</v>
      </c>
      <c r="B1" s="18" t="s">
        <v>1</v>
      </c>
      <c r="C1" s="18" t="s">
        <v>2</v>
      </c>
      <c r="D1" s="18" t="s">
        <v>3</v>
      </c>
      <c r="E1" s="18" t="s">
        <v>4</v>
      </c>
      <c r="F1" s="19" t="s">
        <v>11</v>
      </c>
      <c r="G1" s="20" t="s">
        <v>12</v>
      </c>
      <c r="H1" s="20" t="s">
        <v>7</v>
      </c>
      <c r="I1" s="20" t="s">
        <v>8</v>
      </c>
      <c r="J1" s="2"/>
      <c r="K1" s="2"/>
      <c r="L1" s="2"/>
      <c r="M1" s="2"/>
      <c r="N1" s="2"/>
      <c r="O1" s="2"/>
      <c r="P1" s="2"/>
      <c r="Q1" s="2"/>
      <c r="R1" s="2"/>
      <c r="S1" s="2"/>
      <c r="T1" s="2"/>
      <c r="U1" s="2"/>
      <c r="V1" s="2"/>
      <c r="W1" s="2"/>
      <c r="X1" s="2"/>
      <c r="Y1" s="2"/>
      <c r="Z1" s="2"/>
    </row>
    <row r="2">
      <c r="A2" s="1" t="s">
        <v>13</v>
      </c>
      <c r="B2" s="3">
        <v>2943.0</v>
      </c>
      <c r="C2" s="3">
        <v>3683.0</v>
      </c>
      <c r="D2" s="3">
        <v>2.180398E7</v>
      </c>
      <c r="E2" s="3">
        <v>1.0398135E7</v>
      </c>
      <c r="F2" s="21">
        <f t="shared" ref="F2:F17" si="2">B2/$B$2</f>
        <v>1</v>
      </c>
      <c r="G2" s="22">
        <f t="shared" ref="G2:G17" si="3">D2/B2</f>
        <v>7408.759769</v>
      </c>
      <c r="H2" s="22">
        <f t="shared" ref="H2:I2" si="1">C2/B2</f>
        <v>1.251444105</v>
      </c>
      <c r="I2" s="22">
        <f t="shared" si="1"/>
        <v>5920.168341</v>
      </c>
      <c r="J2" s="2"/>
      <c r="K2" s="2"/>
      <c r="L2" s="2"/>
      <c r="M2" s="2"/>
      <c r="N2" s="2"/>
      <c r="O2" s="2"/>
      <c r="P2" s="2"/>
      <c r="Q2" s="2"/>
      <c r="R2" s="2"/>
      <c r="S2" s="2"/>
      <c r="T2" s="2"/>
      <c r="U2" s="2"/>
      <c r="V2" s="2"/>
      <c r="W2" s="2"/>
      <c r="X2" s="2"/>
      <c r="Y2" s="2"/>
      <c r="Z2" s="2"/>
    </row>
    <row r="3">
      <c r="A3" s="1" t="s">
        <v>14</v>
      </c>
      <c r="B3" s="3">
        <v>346.0</v>
      </c>
      <c r="C3" s="3">
        <v>513.0</v>
      </c>
      <c r="D3" s="3">
        <v>2765015.0</v>
      </c>
      <c r="E3" s="3">
        <v>1386330.0</v>
      </c>
      <c r="F3" s="21">
        <f t="shared" si="2"/>
        <v>0.1175671084</v>
      </c>
      <c r="G3" s="22">
        <f t="shared" si="3"/>
        <v>7991.372832</v>
      </c>
      <c r="H3" s="22">
        <f t="shared" ref="H3:I3" si="4">C3/B3</f>
        <v>1.48265896</v>
      </c>
      <c r="I3" s="22">
        <f t="shared" si="4"/>
        <v>5389.892788</v>
      </c>
      <c r="J3" s="2"/>
      <c r="K3" s="2"/>
      <c r="L3" s="2"/>
      <c r="M3" s="2"/>
      <c r="N3" s="2"/>
      <c r="O3" s="2"/>
      <c r="P3" s="2"/>
      <c r="Q3" s="2"/>
      <c r="R3" s="2"/>
      <c r="S3" s="2"/>
      <c r="T3" s="2"/>
      <c r="U3" s="2"/>
      <c r="V3" s="2"/>
      <c r="W3" s="2"/>
      <c r="X3" s="2"/>
      <c r="Y3" s="2"/>
      <c r="Z3" s="2"/>
    </row>
    <row r="4">
      <c r="A4" s="1" t="s">
        <v>15</v>
      </c>
      <c r="B4" s="3">
        <v>313.0</v>
      </c>
      <c r="C4" s="3">
        <v>451.0</v>
      </c>
      <c r="D4" s="3">
        <v>2352130.0</v>
      </c>
      <c r="E4" s="3">
        <v>1173700.0</v>
      </c>
      <c r="F4" s="21">
        <f t="shared" si="2"/>
        <v>0.1063540605</v>
      </c>
      <c r="G4" s="22">
        <f t="shared" si="3"/>
        <v>7514.792332</v>
      </c>
      <c r="H4" s="22">
        <f t="shared" ref="H4:I4" si="5">C4/B4</f>
        <v>1.440894569</v>
      </c>
      <c r="I4" s="22">
        <f t="shared" si="5"/>
        <v>5215.365854</v>
      </c>
      <c r="J4" s="2"/>
      <c r="K4" s="2"/>
      <c r="L4" s="2"/>
      <c r="M4" s="2"/>
      <c r="N4" s="2"/>
      <c r="O4" s="2"/>
      <c r="P4" s="2"/>
      <c r="Q4" s="2"/>
      <c r="R4" s="2"/>
      <c r="S4" s="2"/>
      <c r="T4" s="2"/>
      <c r="U4" s="2"/>
      <c r="V4" s="2"/>
      <c r="W4" s="2"/>
      <c r="X4" s="2"/>
      <c r="Y4" s="2"/>
      <c r="Z4" s="2"/>
    </row>
    <row r="5">
      <c r="A5" s="1" t="s">
        <v>16</v>
      </c>
      <c r="B5" s="3">
        <v>485.0</v>
      </c>
      <c r="C5" s="3">
        <v>819.0</v>
      </c>
      <c r="D5" s="3">
        <v>4692930.0</v>
      </c>
      <c r="E5" s="3">
        <v>2335300.0</v>
      </c>
      <c r="F5" s="21">
        <f t="shared" si="2"/>
        <v>0.1647978253</v>
      </c>
      <c r="G5" s="22">
        <f t="shared" si="3"/>
        <v>9676.14433</v>
      </c>
      <c r="H5" s="22">
        <f t="shared" ref="H5:I5" si="6">C5/B5</f>
        <v>1.688659794</v>
      </c>
      <c r="I5" s="22">
        <f t="shared" si="6"/>
        <v>5730.07326</v>
      </c>
      <c r="J5" s="2"/>
      <c r="K5" s="2"/>
      <c r="L5" s="2"/>
      <c r="M5" s="2"/>
      <c r="N5" s="2"/>
      <c r="O5" s="2"/>
      <c r="P5" s="2"/>
      <c r="Q5" s="2"/>
      <c r="R5" s="2"/>
      <c r="S5" s="2"/>
      <c r="T5" s="2"/>
      <c r="U5" s="2"/>
      <c r="V5" s="2"/>
      <c r="W5" s="2"/>
      <c r="X5" s="2"/>
      <c r="Y5" s="2"/>
      <c r="Z5" s="2"/>
    </row>
    <row r="6">
      <c r="A6" s="1" t="s">
        <v>17</v>
      </c>
      <c r="B6" s="3">
        <v>296.0</v>
      </c>
      <c r="C6" s="3">
        <v>435.0</v>
      </c>
      <c r="D6" s="3">
        <v>2411530.0</v>
      </c>
      <c r="E6" s="3">
        <v>1161600.0</v>
      </c>
      <c r="F6" s="21">
        <f t="shared" si="2"/>
        <v>0.1005776419</v>
      </c>
      <c r="G6" s="22">
        <f t="shared" si="3"/>
        <v>8147.060811</v>
      </c>
      <c r="H6" s="22">
        <f t="shared" ref="H6:I6" si="7">C6/B6</f>
        <v>1.469594595</v>
      </c>
      <c r="I6" s="22">
        <f t="shared" si="7"/>
        <v>5543.747126</v>
      </c>
      <c r="J6" s="2"/>
      <c r="K6" s="2"/>
      <c r="L6" s="2"/>
      <c r="M6" s="2"/>
      <c r="N6" s="2"/>
      <c r="O6" s="2"/>
      <c r="P6" s="2"/>
      <c r="Q6" s="2"/>
      <c r="R6" s="2"/>
      <c r="S6" s="2"/>
      <c r="T6" s="2"/>
      <c r="U6" s="2"/>
      <c r="V6" s="2"/>
      <c r="W6" s="2"/>
      <c r="X6" s="2"/>
      <c r="Y6" s="2"/>
      <c r="Z6" s="2"/>
    </row>
    <row r="7">
      <c r="A7" s="1" t="s">
        <v>18</v>
      </c>
      <c r="B7" s="3">
        <v>286.0</v>
      </c>
      <c r="C7" s="3">
        <v>453.0</v>
      </c>
      <c r="D7" s="3">
        <v>2186470.0</v>
      </c>
      <c r="E7" s="3">
        <v>1074425.0</v>
      </c>
      <c r="F7" s="21">
        <f t="shared" si="2"/>
        <v>0.09717974856</v>
      </c>
      <c r="G7" s="22">
        <f t="shared" si="3"/>
        <v>7645</v>
      </c>
      <c r="H7" s="22">
        <f t="shared" ref="H7:I7" si="8">C7/B7</f>
        <v>1.583916084</v>
      </c>
      <c r="I7" s="22">
        <f t="shared" si="8"/>
        <v>4826.644592</v>
      </c>
      <c r="J7" s="2"/>
      <c r="K7" s="2"/>
      <c r="L7" s="2"/>
      <c r="M7" s="2"/>
      <c r="N7" s="2"/>
      <c r="O7" s="2"/>
      <c r="P7" s="2"/>
      <c r="Q7" s="2"/>
      <c r="R7" s="2"/>
      <c r="S7" s="2"/>
      <c r="T7" s="2"/>
      <c r="U7" s="2"/>
      <c r="V7" s="2"/>
      <c r="W7" s="2"/>
      <c r="X7" s="2"/>
      <c r="Y7" s="2"/>
      <c r="Z7" s="2"/>
    </row>
    <row r="8">
      <c r="A8" s="1" t="s">
        <v>19</v>
      </c>
      <c r="B8" s="3">
        <v>245.0</v>
      </c>
      <c r="C8" s="3">
        <v>396.0</v>
      </c>
      <c r="D8" s="3">
        <v>2040280.0</v>
      </c>
      <c r="E8" s="3">
        <v>988295.0</v>
      </c>
      <c r="F8" s="21">
        <f t="shared" si="2"/>
        <v>0.083248386</v>
      </c>
      <c r="G8" s="22">
        <f t="shared" si="3"/>
        <v>8327.673469</v>
      </c>
      <c r="H8" s="22">
        <f t="shared" ref="H8:I8" si="9">C8/B8</f>
        <v>1.616326531</v>
      </c>
      <c r="I8" s="22">
        <f t="shared" si="9"/>
        <v>5152.222222</v>
      </c>
      <c r="J8" s="2"/>
      <c r="K8" s="2"/>
      <c r="L8" s="2"/>
      <c r="M8" s="2"/>
      <c r="N8" s="2"/>
      <c r="O8" s="2"/>
      <c r="P8" s="2"/>
      <c r="Q8" s="2"/>
      <c r="R8" s="2"/>
      <c r="S8" s="2"/>
      <c r="T8" s="2"/>
      <c r="U8" s="2"/>
      <c r="V8" s="2"/>
      <c r="W8" s="2"/>
      <c r="X8" s="2"/>
      <c r="Y8" s="2"/>
      <c r="Z8" s="2"/>
    </row>
    <row r="9">
      <c r="A9" s="1" t="s">
        <v>20</v>
      </c>
      <c r="B9" s="3">
        <v>420.0</v>
      </c>
      <c r="C9" s="3">
        <v>808.0</v>
      </c>
      <c r="D9" s="3">
        <v>4619175.0</v>
      </c>
      <c r="E9" s="3">
        <v>2215950.0</v>
      </c>
      <c r="F9" s="21">
        <f t="shared" si="2"/>
        <v>0.1427115189</v>
      </c>
      <c r="G9" s="22">
        <f t="shared" si="3"/>
        <v>10998.03571</v>
      </c>
      <c r="H9" s="22">
        <f t="shared" ref="H9:I9" si="10">C9/B9</f>
        <v>1.923809524</v>
      </c>
      <c r="I9" s="22">
        <f t="shared" si="10"/>
        <v>5716.800743</v>
      </c>
      <c r="J9" s="2"/>
      <c r="K9" s="2"/>
      <c r="L9" s="2"/>
      <c r="M9" s="2"/>
      <c r="N9" s="2"/>
      <c r="O9" s="2"/>
      <c r="P9" s="2"/>
      <c r="Q9" s="2"/>
      <c r="R9" s="2"/>
      <c r="S9" s="2"/>
      <c r="T9" s="2"/>
      <c r="U9" s="2"/>
      <c r="V9" s="2"/>
      <c r="W9" s="2"/>
      <c r="X9" s="2"/>
      <c r="Y9" s="2"/>
      <c r="Z9" s="2"/>
    </row>
    <row r="10">
      <c r="A10" s="1" t="s">
        <v>21</v>
      </c>
      <c r="B10" s="3">
        <v>312.0</v>
      </c>
      <c r="C10" s="3">
        <v>481.0</v>
      </c>
      <c r="D10" s="3">
        <v>2391565.0</v>
      </c>
      <c r="E10" s="3">
        <v>1101815.0</v>
      </c>
      <c r="F10" s="21">
        <f t="shared" si="2"/>
        <v>0.1060142712</v>
      </c>
      <c r="G10" s="22">
        <f t="shared" si="3"/>
        <v>7665.272436</v>
      </c>
      <c r="H10" s="22">
        <f t="shared" ref="H10:I10" si="11">C10/B10</f>
        <v>1.541666667</v>
      </c>
      <c r="I10" s="22">
        <f t="shared" si="11"/>
        <v>4972.068607</v>
      </c>
      <c r="J10" s="2"/>
      <c r="K10" s="2"/>
      <c r="L10" s="2"/>
      <c r="M10" s="2"/>
      <c r="N10" s="2"/>
      <c r="O10" s="2"/>
      <c r="P10" s="2"/>
      <c r="Q10" s="2"/>
      <c r="R10" s="2"/>
      <c r="S10" s="2"/>
      <c r="T10" s="2"/>
      <c r="U10" s="2"/>
      <c r="V10" s="2"/>
      <c r="W10" s="2"/>
      <c r="X10" s="2"/>
      <c r="Y10" s="2"/>
      <c r="Z10" s="2"/>
    </row>
    <row r="11">
      <c r="A11" s="1" t="s">
        <v>22</v>
      </c>
      <c r="B11" s="3">
        <v>281.0</v>
      </c>
      <c r="C11" s="3">
        <v>462.0</v>
      </c>
      <c r="D11" s="3">
        <v>2061895.0</v>
      </c>
      <c r="E11" s="3">
        <v>960080.0</v>
      </c>
      <c r="F11" s="21">
        <f t="shared" si="2"/>
        <v>0.0954808019</v>
      </c>
      <c r="G11" s="22">
        <f t="shared" si="3"/>
        <v>7337.704626</v>
      </c>
      <c r="H11" s="22">
        <f t="shared" ref="H11:I11" si="12">C11/B11</f>
        <v>1.644128114</v>
      </c>
      <c r="I11" s="22">
        <f t="shared" si="12"/>
        <v>4462.97619</v>
      </c>
      <c r="J11" s="2"/>
      <c r="K11" s="2"/>
      <c r="L11" s="2"/>
      <c r="M11" s="2"/>
      <c r="N11" s="2"/>
      <c r="O11" s="2"/>
      <c r="P11" s="2"/>
      <c r="Q11" s="2"/>
      <c r="R11" s="2"/>
      <c r="S11" s="2"/>
      <c r="T11" s="2"/>
      <c r="U11" s="2"/>
      <c r="V11" s="2"/>
      <c r="W11" s="2"/>
      <c r="X11" s="2"/>
      <c r="Y11" s="2"/>
      <c r="Z11" s="2"/>
    </row>
    <row r="12">
      <c r="A12" s="1" t="s">
        <v>23</v>
      </c>
      <c r="B12" s="3">
        <v>220.0</v>
      </c>
      <c r="C12" s="3">
        <v>384.0</v>
      </c>
      <c r="D12" s="3">
        <v>1826220.0</v>
      </c>
      <c r="E12" s="3">
        <v>838310.0</v>
      </c>
      <c r="F12" s="21">
        <f t="shared" si="2"/>
        <v>0.07475365274</v>
      </c>
      <c r="G12" s="22">
        <f t="shared" si="3"/>
        <v>8301</v>
      </c>
      <c r="H12" s="22">
        <f t="shared" ref="H12:I12" si="13">C12/B12</f>
        <v>1.745454545</v>
      </c>
      <c r="I12" s="22">
        <f t="shared" si="13"/>
        <v>4755.78125</v>
      </c>
      <c r="J12" s="2"/>
      <c r="K12" s="2"/>
      <c r="L12" s="2"/>
      <c r="M12" s="2"/>
      <c r="N12" s="2"/>
      <c r="O12" s="2"/>
      <c r="P12" s="2"/>
      <c r="Q12" s="2"/>
      <c r="R12" s="2"/>
      <c r="S12" s="2"/>
      <c r="T12" s="2"/>
      <c r="U12" s="2"/>
      <c r="V12" s="2"/>
      <c r="W12" s="2"/>
      <c r="X12" s="2"/>
      <c r="Y12" s="2"/>
      <c r="Z12" s="2"/>
    </row>
    <row r="13">
      <c r="A13" s="1" t="s">
        <v>24</v>
      </c>
      <c r="B13" s="3">
        <v>358.0</v>
      </c>
      <c r="C13" s="3">
        <v>722.0</v>
      </c>
      <c r="D13" s="3">
        <v>3652880.0</v>
      </c>
      <c r="E13" s="3">
        <v>1726835.0</v>
      </c>
      <c r="F13" s="21">
        <f t="shared" si="2"/>
        <v>0.1216445804</v>
      </c>
      <c r="G13" s="22">
        <f t="shared" si="3"/>
        <v>10203.57542</v>
      </c>
      <c r="H13" s="22">
        <f t="shared" ref="H13:I13" si="14">C13/B13</f>
        <v>2.016759777</v>
      </c>
      <c r="I13" s="22">
        <f t="shared" si="14"/>
        <v>5059.390582</v>
      </c>
      <c r="J13" s="2"/>
      <c r="K13" s="2"/>
      <c r="L13" s="2"/>
      <c r="M13" s="2"/>
      <c r="N13" s="2"/>
      <c r="O13" s="2"/>
      <c r="P13" s="2"/>
      <c r="Q13" s="2"/>
      <c r="R13" s="2"/>
      <c r="S13" s="2"/>
      <c r="T13" s="2"/>
      <c r="U13" s="2"/>
      <c r="V13" s="2"/>
      <c r="W13" s="2"/>
      <c r="X13" s="2"/>
      <c r="Y13" s="2"/>
      <c r="Z13" s="2"/>
    </row>
    <row r="14">
      <c r="A14" s="1" t="s">
        <v>25</v>
      </c>
      <c r="B14" s="3">
        <v>244.0</v>
      </c>
      <c r="C14" s="3">
        <v>397.0</v>
      </c>
      <c r="D14" s="3">
        <v>1945185.0</v>
      </c>
      <c r="E14" s="3">
        <v>908215.0</v>
      </c>
      <c r="F14" s="21">
        <f t="shared" si="2"/>
        <v>0.08290859667</v>
      </c>
      <c r="G14" s="22">
        <f t="shared" si="3"/>
        <v>7972.069672</v>
      </c>
      <c r="H14" s="22">
        <f t="shared" ref="H14:I14" si="15">C14/B14</f>
        <v>1.62704918</v>
      </c>
      <c r="I14" s="22">
        <f t="shared" si="15"/>
        <v>4899.710327</v>
      </c>
      <c r="J14" s="2"/>
      <c r="K14" s="2"/>
      <c r="L14" s="2"/>
      <c r="M14" s="2"/>
      <c r="N14" s="2"/>
      <c r="O14" s="2"/>
      <c r="P14" s="2"/>
      <c r="Q14" s="2"/>
      <c r="R14" s="2"/>
      <c r="S14" s="2"/>
      <c r="T14" s="2"/>
      <c r="U14" s="2"/>
      <c r="V14" s="2"/>
      <c r="W14" s="2"/>
      <c r="X14" s="2"/>
      <c r="Y14" s="2"/>
      <c r="Z14" s="2"/>
    </row>
    <row r="15">
      <c r="A15" s="1" t="s">
        <v>26</v>
      </c>
      <c r="B15" s="3">
        <v>236.0</v>
      </c>
      <c r="C15" s="3">
        <v>390.0</v>
      </c>
      <c r="D15" s="3">
        <v>1882925.0</v>
      </c>
      <c r="E15" s="3">
        <v>884840.0</v>
      </c>
      <c r="F15" s="21">
        <f t="shared" si="2"/>
        <v>0.08019028203</v>
      </c>
      <c r="G15" s="22">
        <f t="shared" si="3"/>
        <v>7978.495763</v>
      </c>
      <c r="H15" s="22">
        <f t="shared" ref="H15:I15" si="16">C15/B15</f>
        <v>1.652542373</v>
      </c>
      <c r="I15" s="22">
        <f t="shared" si="16"/>
        <v>4828.012821</v>
      </c>
      <c r="J15" s="2"/>
      <c r="K15" s="2"/>
      <c r="L15" s="2"/>
      <c r="M15" s="2"/>
      <c r="N15" s="2"/>
      <c r="O15" s="2"/>
      <c r="P15" s="2"/>
      <c r="Q15" s="2"/>
      <c r="R15" s="2"/>
      <c r="S15" s="2"/>
      <c r="T15" s="2"/>
      <c r="U15" s="2"/>
      <c r="V15" s="2"/>
      <c r="W15" s="2"/>
      <c r="X15" s="2"/>
      <c r="Y15" s="2"/>
      <c r="Z15" s="2"/>
    </row>
    <row r="16">
      <c r="A16" s="1" t="s">
        <v>27</v>
      </c>
      <c r="B16" s="3">
        <v>201.0</v>
      </c>
      <c r="C16" s="3">
        <v>338.0</v>
      </c>
      <c r="D16" s="3">
        <v>1504580.0</v>
      </c>
      <c r="E16" s="3">
        <v>703560.0</v>
      </c>
      <c r="F16" s="21">
        <f t="shared" si="2"/>
        <v>0.06829765545</v>
      </c>
      <c r="G16" s="22">
        <f t="shared" si="3"/>
        <v>7485.472637</v>
      </c>
      <c r="H16" s="22">
        <f t="shared" ref="H16:I16" si="17">C16/B16</f>
        <v>1.68159204</v>
      </c>
      <c r="I16" s="22">
        <f t="shared" si="17"/>
        <v>4451.420118</v>
      </c>
      <c r="J16" s="2"/>
      <c r="K16" s="2"/>
      <c r="L16" s="2"/>
      <c r="M16" s="2"/>
      <c r="N16" s="2"/>
      <c r="O16" s="2"/>
      <c r="P16" s="2"/>
      <c r="Q16" s="2"/>
      <c r="R16" s="2"/>
      <c r="S16" s="2"/>
      <c r="T16" s="2"/>
      <c r="U16" s="2"/>
      <c r="V16" s="2"/>
      <c r="W16" s="2"/>
      <c r="X16" s="2"/>
      <c r="Y16" s="2"/>
      <c r="Z16" s="2"/>
    </row>
    <row r="17">
      <c r="A17" s="1" t="s">
        <v>28</v>
      </c>
      <c r="B17" s="3">
        <v>353.0</v>
      </c>
      <c r="C17" s="3">
        <v>657.0</v>
      </c>
      <c r="D17" s="3">
        <v>3447070.0</v>
      </c>
      <c r="E17" s="3">
        <v>1627065.0</v>
      </c>
      <c r="F17" s="21">
        <f t="shared" si="2"/>
        <v>0.1199456337</v>
      </c>
      <c r="G17" s="22">
        <f t="shared" si="3"/>
        <v>9765.070822</v>
      </c>
      <c r="H17" s="22">
        <f t="shared" ref="H17:I17" si="18">C17/B17</f>
        <v>1.861189802</v>
      </c>
      <c r="I17" s="22">
        <f t="shared" si="18"/>
        <v>5246.681887</v>
      </c>
      <c r="J17" s="2"/>
      <c r="K17" s="2"/>
      <c r="L17" s="2"/>
      <c r="M17" s="2"/>
      <c r="N17" s="2"/>
      <c r="O17" s="2"/>
      <c r="P17" s="2"/>
      <c r="Q17" s="2"/>
      <c r="R17" s="2"/>
      <c r="S17" s="2"/>
      <c r="T17" s="2"/>
      <c r="U17" s="2"/>
      <c r="V17" s="2"/>
      <c r="W17" s="2"/>
      <c r="X17" s="2"/>
      <c r="Y17" s="2"/>
      <c r="Z17" s="2"/>
    </row>
    <row r="18">
      <c r="A18" s="2"/>
      <c r="B18" s="2"/>
      <c r="C18" s="2"/>
      <c r="D18" s="2"/>
      <c r="E18" s="2"/>
      <c r="F18" s="23"/>
      <c r="G18" s="2"/>
      <c r="H18" s="2"/>
      <c r="I18" s="2"/>
      <c r="J18" s="2"/>
      <c r="K18" s="2"/>
      <c r="L18" s="2"/>
      <c r="M18" s="2"/>
      <c r="N18" s="2"/>
      <c r="O18" s="2"/>
      <c r="P18" s="2"/>
      <c r="Q18" s="2"/>
      <c r="R18" s="2"/>
      <c r="S18" s="2"/>
      <c r="T18" s="2"/>
      <c r="U18" s="2"/>
      <c r="V18" s="2"/>
      <c r="W18" s="2"/>
      <c r="X18" s="2"/>
      <c r="Y18" s="2"/>
      <c r="Z18" s="2"/>
    </row>
    <row r="19">
      <c r="A19" s="2"/>
      <c r="B19" s="2"/>
      <c r="C19" s="2"/>
      <c r="D19" s="2"/>
      <c r="E19" s="2"/>
      <c r="F19" s="23"/>
      <c r="G19" s="2"/>
      <c r="H19" s="2"/>
      <c r="I19" s="2"/>
      <c r="J19" s="2"/>
      <c r="K19" s="2"/>
      <c r="L19" s="2"/>
      <c r="M19" s="2"/>
      <c r="N19" s="2"/>
      <c r="O19" s="2"/>
      <c r="P19" s="2"/>
      <c r="Q19" s="2"/>
      <c r="R19" s="2"/>
      <c r="S19" s="2"/>
      <c r="T19" s="2"/>
      <c r="U19" s="2"/>
      <c r="V19" s="2"/>
      <c r="W19" s="2"/>
      <c r="X19" s="2"/>
      <c r="Y19" s="2"/>
      <c r="Z19" s="2"/>
    </row>
    <row r="20">
      <c r="A20" s="2"/>
      <c r="B20" s="2"/>
      <c r="C20" s="2"/>
      <c r="D20" s="2"/>
      <c r="E20" s="2"/>
      <c r="F20" s="23"/>
      <c r="G20" s="2"/>
      <c r="H20" s="2"/>
      <c r="I20" s="2"/>
      <c r="J20" s="2"/>
      <c r="K20" s="2"/>
      <c r="L20" s="2"/>
      <c r="M20" s="2"/>
      <c r="N20" s="2"/>
      <c r="O20" s="2"/>
      <c r="P20" s="2"/>
      <c r="Q20" s="2"/>
      <c r="R20" s="2"/>
      <c r="S20" s="2"/>
      <c r="T20" s="2"/>
      <c r="U20" s="2"/>
      <c r="V20" s="2"/>
      <c r="W20" s="2"/>
      <c r="X20" s="2"/>
      <c r="Y20" s="2"/>
      <c r="Z20" s="2"/>
    </row>
    <row r="21">
      <c r="A21" s="2"/>
      <c r="B21" s="2"/>
      <c r="C21" s="2"/>
      <c r="D21" s="2"/>
      <c r="E21" s="2"/>
      <c r="F21" s="23"/>
      <c r="G21" s="2"/>
      <c r="H21" s="2"/>
      <c r="I21" s="2"/>
      <c r="J21" s="2"/>
      <c r="K21" s="2"/>
      <c r="L21" s="2"/>
      <c r="M21" s="2"/>
      <c r="N21" s="2"/>
      <c r="O21" s="2"/>
      <c r="P21" s="2"/>
      <c r="Q21" s="2"/>
      <c r="R21" s="2"/>
      <c r="S21" s="2"/>
      <c r="T21" s="2"/>
      <c r="U21" s="2"/>
      <c r="V21" s="2"/>
      <c r="W21" s="2"/>
      <c r="X21" s="2"/>
      <c r="Y21" s="2"/>
      <c r="Z21" s="2"/>
    </row>
    <row r="22">
      <c r="A22" s="2"/>
      <c r="B22" s="2"/>
      <c r="C22" s="2"/>
      <c r="D22" s="2"/>
      <c r="E22" s="2"/>
      <c r="F22" s="23"/>
      <c r="G22" s="2"/>
      <c r="H22" s="2"/>
      <c r="I22" s="2"/>
      <c r="J22" s="2"/>
      <c r="K22" s="24" t="s">
        <v>29</v>
      </c>
      <c r="L22" s="2"/>
      <c r="M22" s="2"/>
      <c r="N22" s="2"/>
      <c r="O22" s="2"/>
      <c r="P22" s="2"/>
      <c r="Q22" s="2"/>
      <c r="R22" s="2"/>
      <c r="S22" s="2"/>
      <c r="T22" s="2"/>
      <c r="U22" s="2"/>
      <c r="V22" s="2"/>
      <c r="W22" s="2"/>
      <c r="X22" s="2"/>
      <c r="Y22" s="2"/>
      <c r="Z22" s="2"/>
    </row>
    <row r="23">
      <c r="A23" s="2"/>
      <c r="B23" s="2"/>
      <c r="C23" s="2"/>
      <c r="D23" s="2"/>
      <c r="E23" s="2"/>
      <c r="F23" s="23"/>
      <c r="G23" s="2"/>
      <c r="H23" s="2"/>
      <c r="I23" s="2"/>
      <c r="J23" s="2"/>
      <c r="K23" s="2"/>
      <c r="L23" s="2"/>
      <c r="M23" s="2"/>
      <c r="N23" s="2"/>
      <c r="O23" s="2"/>
      <c r="P23" s="2"/>
      <c r="Q23" s="2"/>
      <c r="R23" s="2"/>
      <c r="S23" s="2"/>
      <c r="T23" s="2"/>
      <c r="U23" s="2"/>
      <c r="V23" s="2"/>
      <c r="W23" s="2"/>
      <c r="X23" s="2"/>
      <c r="Y23" s="2"/>
      <c r="Z23" s="2"/>
    </row>
    <row r="24">
      <c r="A24" s="2"/>
      <c r="B24" s="2"/>
      <c r="C24" s="2"/>
      <c r="D24" s="2"/>
      <c r="E24" s="2"/>
      <c r="F24" s="23"/>
      <c r="G24" s="2"/>
      <c r="H24" s="2"/>
      <c r="I24" s="24" t="s">
        <v>29</v>
      </c>
      <c r="J24" s="2"/>
      <c r="K24" s="2"/>
      <c r="L24" s="2"/>
      <c r="M24" s="2"/>
      <c r="N24" s="2"/>
      <c r="O24" s="2"/>
      <c r="P24" s="2"/>
      <c r="Q24" s="2"/>
      <c r="R24" s="2"/>
      <c r="S24" s="2"/>
      <c r="T24" s="2"/>
      <c r="U24" s="2"/>
      <c r="V24" s="2"/>
      <c r="W24" s="2"/>
      <c r="X24" s="2"/>
      <c r="Y24" s="2"/>
      <c r="Z24" s="2"/>
    </row>
    <row r="25">
      <c r="A25" s="2"/>
      <c r="B25" s="2"/>
      <c r="C25" s="2"/>
      <c r="D25" s="2"/>
      <c r="E25" s="2"/>
      <c r="F25" s="23"/>
      <c r="G25" s="2"/>
      <c r="H25" s="2"/>
      <c r="I25" s="2"/>
      <c r="J25" s="2"/>
      <c r="K25" s="2"/>
      <c r="L25" s="2"/>
      <c r="M25" s="2"/>
      <c r="N25" s="2"/>
      <c r="O25" s="2"/>
      <c r="P25" s="2"/>
      <c r="Q25" s="2"/>
      <c r="R25" s="2"/>
      <c r="S25" s="2"/>
      <c r="T25" s="2"/>
      <c r="U25" s="2"/>
      <c r="V25" s="2"/>
      <c r="W25" s="2"/>
      <c r="X25" s="2"/>
      <c r="Y25" s="2"/>
      <c r="Z25" s="2"/>
    </row>
    <row r="26">
      <c r="A26" s="2"/>
      <c r="B26" s="2"/>
      <c r="C26" s="2"/>
      <c r="D26" s="2"/>
      <c r="E26" s="2"/>
      <c r="F26" s="23"/>
      <c r="G26" s="2"/>
      <c r="H26" s="2"/>
      <c r="I26" s="2"/>
      <c r="J26" s="2"/>
      <c r="K26" s="2"/>
      <c r="L26" s="2"/>
      <c r="M26" s="2"/>
      <c r="N26" s="2"/>
      <c r="O26" s="2"/>
      <c r="P26" s="2"/>
      <c r="Q26" s="2"/>
      <c r="R26" s="2"/>
      <c r="S26" s="2"/>
      <c r="T26" s="2"/>
      <c r="U26" s="2"/>
      <c r="V26" s="2"/>
      <c r="W26" s="2"/>
      <c r="X26" s="2"/>
      <c r="Y26" s="2"/>
      <c r="Z26" s="2"/>
    </row>
    <row r="27">
      <c r="A27" s="2"/>
      <c r="B27" s="2"/>
      <c r="C27" s="2"/>
      <c r="D27" s="2"/>
      <c r="E27" s="2"/>
      <c r="F27" s="23"/>
      <c r="G27" s="2"/>
      <c r="H27" s="2"/>
      <c r="I27" s="2"/>
      <c r="J27" s="2"/>
      <c r="K27" s="2"/>
      <c r="L27" s="2"/>
      <c r="M27" s="2"/>
      <c r="N27" s="2"/>
      <c r="O27" s="2"/>
      <c r="P27" s="2"/>
      <c r="Q27" s="2"/>
      <c r="R27" s="2"/>
      <c r="S27" s="2"/>
      <c r="T27" s="2"/>
      <c r="U27" s="2"/>
      <c r="V27" s="2"/>
      <c r="W27" s="2"/>
      <c r="X27" s="2"/>
      <c r="Y27" s="2"/>
      <c r="Z27" s="2"/>
    </row>
    <row r="28">
      <c r="A28" s="2"/>
      <c r="B28" s="2"/>
      <c r="C28" s="2"/>
      <c r="D28" s="2"/>
      <c r="E28" s="2"/>
      <c r="F28" s="23"/>
      <c r="G28" s="2"/>
      <c r="H28" s="2"/>
      <c r="I28" s="2"/>
      <c r="J28" s="2"/>
      <c r="K28" s="2"/>
      <c r="L28" s="2"/>
      <c r="M28" s="2"/>
      <c r="N28" s="2"/>
      <c r="O28" s="2"/>
      <c r="P28" s="2"/>
      <c r="Q28" s="2"/>
      <c r="R28" s="2"/>
      <c r="S28" s="2"/>
      <c r="T28" s="2"/>
      <c r="U28" s="2"/>
      <c r="V28" s="2"/>
      <c r="W28" s="2"/>
      <c r="X28" s="2"/>
      <c r="Y28" s="2"/>
      <c r="Z28" s="2"/>
    </row>
    <row r="29">
      <c r="A29" s="2"/>
      <c r="B29" s="2"/>
      <c r="C29" s="2"/>
      <c r="D29" s="2"/>
      <c r="E29" s="2"/>
      <c r="F29" s="23"/>
      <c r="G29" s="2"/>
      <c r="H29" s="2"/>
      <c r="I29" s="2"/>
      <c r="J29" s="2"/>
      <c r="K29" s="2"/>
      <c r="L29" s="2"/>
      <c r="M29" s="2"/>
      <c r="N29" s="2"/>
      <c r="O29" s="2"/>
      <c r="P29" s="2"/>
      <c r="Q29" s="2"/>
      <c r="R29" s="2"/>
      <c r="S29" s="2"/>
      <c r="T29" s="2"/>
      <c r="U29" s="2"/>
      <c r="V29" s="2"/>
      <c r="W29" s="2"/>
      <c r="X29" s="2"/>
      <c r="Y29" s="2"/>
      <c r="Z29" s="2"/>
    </row>
    <row r="30">
      <c r="A30" s="2"/>
      <c r="B30" s="2"/>
      <c r="C30" s="2"/>
      <c r="D30" s="2"/>
      <c r="E30" s="2"/>
      <c r="F30" s="23"/>
      <c r="G30" s="2"/>
      <c r="H30" s="2"/>
      <c r="I30" s="2"/>
      <c r="J30" s="2"/>
      <c r="K30" s="2"/>
      <c r="L30" s="2"/>
      <c r="M30" s="2"/>
      <c r="N30" s="2"/>
      <c r="O30" s="2"/>
      <c r="P30" s="2"/>
      <c r="Q30" s="2"/>
      <c r="R30" s="2"/>
      <c r="S30" s="2"/>
      <c r="T30" s="2"/>
      <c r="U30" s="2"/>
      <c r="V30" s="2"/>
      <c r="W30" s="2"/>
      <c r="X30" s="2"/>
      <c r="Y30" s="2"/>
      <c r="Z30" s="2"/>
    </row>
    <row r="31">
      <c r="A31" s="2"/>
      <c r="B31" s="2"/>
      <c r="C31" s="2"/>
      <c r="D31" s="2"/>
      <c r="E31" s="2"/>
      <c r="F31" s="23"/>
      <c r="G31" s="2"/>
      <c r="H31" s="2"/>
      <c r="I31" s="2"/>
      <c r="J31" s="2"/>
      <c r="K31" s="2"/>
      <c r="L31" s="2"/>
      <c r="M31" s="2"/>
      <c r="N31" s="2"/>
      <c r="O31" s="2"/>
      <c r="P31" s="2"/>
      <c r="Q31" s="2"/>
      <c r="R31" s="2"/>
      <c r="S31" s="2"/>
      <c r="T31" s="2"/>
      <c r="U31" s="2"/>
      <c r="V31" s="2"/>
      <c r="W31" s="2"/>
      <c r="X31" s="2"/>
      <c r="Y31" s="2"/>
      <c r="Z31" s="2"/>
    </row>
    <row r="32">
      <c r="A32" s="2"/>
      <c r="B32" s="2"/>
      <c r="C32" s="2"/>
      <c r="D32" s="2"/>
      <c r="E32" s="2"/>
      <c r="F32" s="23"/>
      <c r="G32" s="2"/>
      <c r="H32" s="2"/>
      <c r="I32" s="2"/>
      <c r="J32" s="2"/>
      <c r="K32" s="2"/>
      <c r="L32" s="2"/>
      <c r="M32" s="2"/>
      <c r="N32" s="2"/>
      <c r="O32" s="2"/>
      <c r="P32" s="2"/>
      <c r="Q32" s="2"/>
      <c r="R32" s="2"/>
      <c r="S32" s="2"/>
      <c r="T32" s="2"/>
      <c r="U32" s="2"/>
      <c r="V32" s="2"/>
      <c r="W32" s="2"/>
      <c r="X32" s="2"/>
      <c r="Y32" s="2"/>
      <c r="Z32" s="2"/>
    </row>
    <row r="33">
      <c r="A33" s="2"/>
      <c r="B33" s="2"/>
      <c r="C33" s="2"/>
      <c r="D33" s="2"/>
      <c r="E33" s="2"/>
      <c r="F33" s="23"/>
      <c r="G33" s="2"/>
      <c r="H33" s="2"/>
      <c r="I33" s="2"/>
      <c r="J33" s="2"/>
      <c r="K33" s="2"/>
      <c r="L33" s="2"/>
      <c r="M33" s="2"/>
      <c r="N33" s="2"/>
      <c r="O33" s="2"/>
      <c r="P33" s="2"/>
      <c r="Q33" s="2"/>
      <c r="R33" s="2"/>
      <c r="S33" s="2"/>
      <c r="T33" s="2"/>
      <c r="U33" s="2"/>
      <c r="V33" s="2"/>
      <c r="W33" s="2"/>
      <c r="X33" s="2"/>
      <c r="Y33" s="2"/>
      <c r="Z33" s="2"/>
    </row>
    <row r="34">
      <c r="A34" s="2"/>
      <c r="B34" s="2"/>
      <c r="C34" s="2"/>
      <c r="D34" s="2"/>
      <c r="E34" s="2"/>
      <c r="F34" s="23"/>
      <c r="G34" s="2"/>
      <c r="H34" s="2"/>
      <c r="I34" s="2"/>
      <c r="J34" s="2"/>
      <c r="K34" s="2"/>
      <c r="L34" s="2"/>
      <c r="M34" s="2"/>
      <c r="N34" s="2"/>
      <c r="O34" s="2"/>
      <c r="P34" s="2"/>
      <c r="Q34" s="2"/>
      <c r="R34" s="2"/>
      <c r="S34" s="2"/>
      <c r="T34" s="2"/>
      <c r="U34" s="2"/>
      <c r="V34" s="2"/>
      <c r="W34" s="2"/>
      <c r="X34" s="2"/>
      <c r="Y34" s="2"/>
      <c r="Z34" s="2"/>
    </row>
    <row r="35">
      <c r="A35" s="2"/>
      <c r="B35" s="2"/>
      <c r="C35" s="2"/>
      <c r="D35" s="2"/>
      <c r="E35" s="2"/>
      <c r="F35" s="23"/>
      <c r="G35" s="2"/>
      <c r="H35" s="2"/>
      <c r="I35" s="2"/>
      <c r="J35" s="2"/>
      <c r="K35" s="2"/>
      <c r="L35" s="2"/>
      <c r="M35" s="2"/>
      <c r="N35" s="2"/>
      <c r="O35" s="2"/>
      <c r="P35" s="2"/>
      <c r="Q35" s="2"/>
      <c r="R35" s="2"/>
      <c r="S35" s="2"/>
      <c r="T35" s="2"/>
      <c r="U35" s="2"/>
      <c r="V35" s="2"/>
      <c r="W35" s="2"/>
      <c r="X35" s="2"/>
      <c r="Y35" s="2"/>
      <c r="Z35" s="2"/>
    </row>
    <row r="36">
      <c r="A36" s="2"/>
      <c r="B36" s="2"/>
      <c r="C36" s="2"/>
      <c r="D36" s="2"/>
      <c r="E36" s="2"/>
      <c r="F36" s="23"/>
      <c r="G36" s="2"/>
      <c r="H36" s="2"/>
      <c r="I36" s="2"/>
      <c r="J36" s="2"/>
      <c r="K36" s="2"/>
      <c r="L36" s="2"/>
      <c r="M36" s="2"/>
      <c r="N36" s="2"/>
      <c r="O36" s="2"/>
      <c r="P36" s="2"/>
      <c r="Q36" s="2"/>
      <c r="R36" s="2"/>
      <c r="S36" s="2"/>
      <c r="T36" s="2"/>
      <c r="U36" s="2"/>
      <c r="V36" s="2"/>
      <c r="W36" s="2"/>
      <c r="X36" s="2"/>
      <c r="Y36" s="2"/>
      <c r="Z36" s="2"/>
    </row>
    <row r="37">
      <c r="A37" s="2"/>
      <c r="B37" s="2"/>
      <c r="C37" s="2"/>
      <c r="D37" s="2"/>
      <c r="E37" s="2"/>
      <c r="F37" s="23"/>
      <c r="G37" s="2"/>
      <c r="H37" s="2"/>
      <c r="I37" s="2"/>
      <c r="J37" s="2"/>
      <c r="K37" s="2"/>
      <c r="L37" s="2"/>
      <c r="M37" s="2"/>
      <c r="N37" s="2"/>
      <c r="O37" s="2"/>
      <c r="P37" s="2"/>
      <c r="Q37" s="2"/>
      <c r="R37" s="2"/>
      <c r="S37" s="2"/>
      <c r="T37" s="2"/>
      <c r="U37" s="2"/>
      <c r="V37" s="2"/>
      <c r="W37" s="2"/>
      <c r="X37" s="2"/>
      <c r="Y37" s="2"/>
      <c r="Z37" s="2"/>
    </row>
    <row r="38">
      <c r="A38" s="2"/>
      <c r="B38" s="2"/>
      <c r="C38" s="2"/>
      <c r="D38" s="2"/>
      <c r="E38" s="2"/>
      <c r="F38" s="23"/>
      <c r="G38" s="2"/>
      <c r="H38" s="2"/>
      <c r="I38" s="2"/>
      <c r="J38" s="2"/>
      <c r="K38" s="2"/>
      <c r="L38" s="2"/>
      <c r="M38" s="2"/>
      <c r="N38" s="2"/>
      <c r="O38" s="2"/>
      <c r="P38" s="2"/>
      <c r="Q38" s="2"/>
      <c r="R38" s="2"/>
      <c r="S38" s="2"/>
      <c r="T38" s="2"/>
      <c r="U38" s="2"/>
      <c r="V38" s="2"/>
      <c r="W38" s="2"/>
      <c r="X38" s="2"/>
      <c r="Y38" s="2"/>
      <c r="Z38" s="2"/>
    </row>
    <row r="39">
      <c r="A39" s="2"/>
      <c r="B39" s="2"/>
      <c r="C39" s="2"/>
      <c r="D39" s="2"/>
      <c r="E39" s="2"/>
      <c r="F39" s="23"/>
      <c r="G39" s="2"/>
      <c r="H39" s="2"/>
      <c r="I39" s="2"/>
      <c r="J39" s="2"/>
      <c r="K39" s="2"/>
      <c r="L39" s="2"/>
      <c r="M39" s="2"/>
      <c r="N39" s="2"/>
      <c r="O39" s="2"/>
      <c r="P39" s="2"/>
      <c r="Q39" s="2"/>
      <c r="R39" s="2"/>
      <c r="S39" s="2"/>
      <c r="T39" s="2"/>
      <c r="U39" s="2"/>
      <c r="V39" s="2"/>
      <c r="W39" s="2"/>
      <c r="X39" s="2"/>
      <c r="Y39" s="2"/>
      <c r="Z39" s="2"/>
    </row>
    <row r="40">
      <c r="A40" s="2"/>
      <c r="B40" s="2"/>
      <c r="C40" s="2"/>
      <c r="D40" s="2"/>
      <c r="E40" s="2"/>
      <c r="F40" s="23"/>
      <c r="G40" s="2"/>
      <c r="H40" s="2"/>
      <c r="I40" s="2"/>
      <c r="J40" s="2"/>
      <c r="K40" s="2"/>
      <c r="L40" s="2"/>
      <c r="M40" s="2"/>
      <c r="N40" s="2"/>
      <c r="O40" s="2"/>
      <c r="P40" s="2"/>
      <c r="Q40" s="2"/>
      <c r="R40" s="2"/>
      <c r="S40" s="2"/>
      <c r="T40" s="2"/>
      <c r="U40" s="2"/>
      <c r="V40" s="2"/>
      <c r="W40" s="2"/>
      <c r="X40" s="2"/>
      <c r="Y40" s="2"/>
      <c r="Z40" s="2"/>
    </row>
    <row r="41">
      <c r="A41" s="2"/>
      <c r="B41" s="2"/>
      <c r="C41" s="2"/>
      <c r="D41" s="2"/>
      <c r="E41" s="2"/>
      <c r="F41" s="23"/>
      <c r="G41" s="2"/>
      <c r="H41" s="2"/>
      <c r="I41" s="2"/>
      <c r="J41" s="2"/>
      <c r="K41" s="2"/>
      <c r="L41" s="2"/>
      <c r="M41" s="2"/>
      <c r="N41" s="2"/>
      <c r="O41" s="2"/>
      <c r="P41" s="2"/>
      <c r="Q41" s="2"/>
      <c r="R41" s="2"/>
      <c r="S41" s="2"/>
      <c r="T41" s="2"/>
      <c r="U41" s="2"/>
      <c r="V41" s="2"/>
      <c r="W41" s="2"/>
      <c r="X41" s="2"/>
      <c r="Y41" s="2"/>
      <c r="Z41" s="2"/>
    </row>
    <row r="42">
      <c r="A42" s="2"/>
      <c r="B42" s="2"/>
      <c r="C42" s="2"/>
      <c r="D42" s="2"/>
      <c r="E42" s="2"/>
      <c r="F42" s="23"/>
      <c r="G42" s="2"/>
      <c r="H42" s="2"/>
      <c r="I42" s="2"/>
      <c r="J42" s="2"/>
      <c r="K42" s="2"/>
      <c r="L42" s="2"/>
      <c r="M42" s="2"/>
      <c r="N42" s="2"/>
      <c r="O42" s="2"/>
      <c r="P42" s="2"/>
      <c r="Q42" s="2"/>
      <c r="R42" s="2"/>
      <c r="S42" s="2"/>
      <c r="T42" s="2"/>
      <c r="U42" s="2"/>
      <c r="V42" s="2"/>
      <c r="W42" s="2"/>
      <c r="X42" s="2"/>
      <c r="Y42" s="2"/>
      <c r="Z42" s="2"/>
    </row>
    <row r="43">
      <c r="A43" s="2"/>
      <c r="B43" s="2"/>
      <c r="C43" s="2"/>
      <c r="D43" s="2"/>
      <c r="E43" s="2"/>
      <c r="F43" s="23"/>
      <c r="G43" s="2"/>
      <c r="H43" s="2"/>
      <c r="I43" s="2"/>
      <c r="J43" s="2"/>
      <c r="K43" s="2"/>
      <c r="L43" s="2"/>
      <c r="M43" s="2"/>
      <c r="N43" s="2"/>
      <c r="O43" s="2"/>
      <c r="P43" s="2"/>
      <c r="Q43" s="2"/>
      <c r="R43" s="2"/>
      <c r="S43" s="2"/>
      <c r="T43" s="2"/>
      <c r="U43" s="2"/>
      <c r="V43" s="2"/>
      <c r="W43" s="2"/>
      <c r="X43" s="2"/>
      <c r="Y43" s="2"/>
      <c r="Z43" s="2"/>
    </row>
    <row r="44">
      <c r="A44" s="2"/>
      <c r="B44" s="2"/>
      <c r="C44" s="2"/>
      <c r="D44" s="2"/>
      <c r="E44" s="2"/>
      <c r="F44" s="23"/>
      <c r="G44" s="2"/>
      <c r="H44" s="2"/>
      <c r="I44" s="2"/>
      <c r="J44" s="2"/>
      <c r="K44" s="2"/>
      <c r="L44" s="2"/>
      <c r="M44" s="2"/>
      <c r="N44" s="2"/>
      <c r="O44" s="2"/>
      <c r="P44" s="2"/>
      <c r="Q44" s="2"/>
      <c r="R44" s="2"/>
      <c r="S44" s="2"/>
      <c r="T44" s="2"/>
      <c r="U44" s="2"/>
      <c r="V44" s="2"/>
      <c r="W44" s="2"/>
      <c r="X44" s="2"/>
      <c r="Y44" s="2"/>
      <c r="Z44" s="2"/>
    </row>
    <row r="45">
      <c r="A45" s="2"/>
      <c r="B45" s="2"/>
      <c r="C45" s="2"/>
      <c r="D45" s="2"/>
      <c r="E45" s="2"/>
      <c r="F45" s="23"/>
      <c r="G45" s="2"/>
      <c r="H45" s="2"/>
      <c r="I45" s="2"/>
      <c r="J45" s="2"/>
      <c r="K45" s="2"/>
      <c r="L45" s="2"/>
      <c r="M45" s="2"/>
      <c r="N45" s="2"/>
      <c r="O45" s="2"/>
      <c r="P45" s="2"/>
      <c r="Q45" s="2"/>
      <c r="R45" s="2"/>
      <c r="S45" s="2"/>
      <c r="T45" s="2"/>
      <c r="U45" s="2"/>
      <c r="V45" s="2"/>
      <c r="W45" s="2"/>
      <c r="X45" s="2"/>
      <c r="Y45" s="2"/>
      <c r="Z45" s="2"/>
    </row>
    <row r="46">
      <c r="A46" s="2"/>
      <c r="B46" s="2"/>
      <c r="C46" s="2"/>
      <c r="D46" s="2"/>
      <c r="E46" s="2"/>
      <c r="F46" s="23"/>
      <c r="G46" s="2"/>
      <c r="H46" s="2"/>
      <c r="I46" s="2"/>
      <c r="J46" s="2"/>
      <c r="K46" s="2"/>
      <c r="L46" s="2"/>
      <c r="M46" s="2"/>
      <c r="N46" s="2"/>
      <c r="O46" s="2"/>
      <c r="P46" s="2"/>
      <c r="Q46" s="2"/>
      <c r="R46" s="2"/>
      <c r="S46" s="2"/>
      <c r="T46" s="2"/>
      <c r="U46" s="2"/>
      <c r="V46" s="2"/>
      <c r="W46" s="2"/>
      <c r="X46" s="2"/>
      <c r="Y46" s="2"/>
      <c r="Z46" s="2"/>
    </row>
    <row r="47">
      <c r="A47" s="2"/>
      <c r="B47" s="2"/>
      <c r="C47" s="2"/>
      <c r="D47" s="2"/>
      <c r="E47" s="2"/>
      <c r="F47" s="23"/>
      <c r="G47" s="2"/>
      <c r="H47" s="2"/>
      <c r="I47" s="2"/>
      <c r="J47" s="2"/>
      <c r="K47" s="2"/>
      <c r="L47" s="2"/>
      <c r="M47" s="2"/>
      <c r="N47" s="2"/>
      <c r="O47" s="2"/>
      <c r="P47" s="2"/>
      <c r="Q47" s="2"/>
      <c r="R47" s="2"/>
      <c r="S47" s="2"/>
      <c r="T47" s="2"/>
      <c r="U47" s="2"/>
      <c r="V47" s="2"/>
      <c r="W47" s="2"/>
      <c r="X47" s="2"/>
      <c r="Y47" s="2"/>
      <c r="Z47" s="2"/>
    </row>
    <row r="48">
      <c r="A48" s="2"/>
      <c r="B48" s="2"/>
      <c r="C48" s="2"/>
      <c r="D48" s="2"/>
      <c r="E48" s="2"/>
      <c r="F48" s="23"/>
      <c r="G48" s="2"/>
      <c r="H48" s="2"/>
      <c r="I48" s="2"/>
      <c r="J48" s="2"/>
      <c r="K48" s="2"/>
      <c r="L48" s="2"/>
      <c r="M48" s="2"/>
      <c r="N48" s="2"/>
      <c r="O48" s="2"/>
      <c r="P48" s="2"/>
      <c r="Q48" s="2"/>
      <c r="R48" s="2"/>
      <c r="S48" s="2"/>
      <c r="T48" s="2"/>
      <c r="U48" s="2"/>
      <c r="V48" s="2"/>
      <c r="W48" s="2"/>
      <c r="X48" s="2"/>
      <c r="Y48" s="2"/>
      <c r="Z48" s="2"/>
    </row>
    <row r="49">
      <c r="A49" s="2"/>
      <c r="B49" s="2"/>
      <c r="C49" s="2"/>
      <c r="D49" s="2"/>
      <c r="E49" s="2"/>
      <c r="F49" s="23"/>
      <c r="G49" s="2"/>
      <c r="H49" s="2"/>
      <c r="I49" s="2"/>
      <c r="J49" s="2"/>
      <c r="K49" s="2"/>
      <c r="L49" s="2"/>
      <c r="M49" s="2"/>
      <c r="N49" s="2"/>
      <c r="O49" s="2"/>
      <c r="P49" s="2"/>
      <c r="Q49" s="2"/>
      <c r="R49" s="2"/>
      <c r="S49" s="2"/>
      <c r="T49" s="2"/>
      <c r="U49" s="2"/>
      <c r="V49" s="2"/>
      <c r="W49" s="2"/>
      <c r="X49" s="2"/>
      <c r="Y49" s="2"/>
      <c r="Z49" s="2"/>
    </row>
    <row r="50">
      <c r="A50" s="2"/>
      <c r="B50" s="2"/>
      <c r="C50" s="2"/>
      <c r="D50" s="2"/>
      <c r="E50" s="2"/>
      <c r="F50" s="23"/>
      <c r="G50" s="2"/>
      <c r="H50" s="2"/>
      <c r="I50" s="2"/>
      <c r="J50" s="2"/>
      <c r="K50" s="2"/>
      <c r="L50" s="2"/>
      <c r="M50" s="2"/>
      <c r="N50" s="2"/>
      <c r="O50" s="2"/>
      <c r="P50" s="2"/>
      <c r="Q50" s="2"/>
      <c r="R50" s="2"/>
      <c r="S50" s="2"/>
      <c r="T50" s="2"/>
      <c r="U50" s="2"/>
      <c r="V50" s="2"/>
      <c r="W50" s="2"/>
      <c r="X50" s="2"/>
      <c r="Y50" s="2"/>
      <c r="Z50" s="2"/>
    </row>
    <row r="51">
      <c r="A51" s="2"/>
      <c r="B51" s="2"/>
      <c r="C51" s="2"/>
      <c r="D51" s="2"/>
      <c r="E51" s="2"/>
      <c r="F51" s="23"/>
      <c r="G51" s="2"/>
      <c r="H51" s="2"/>
      <c r="I51" s="2"/>
      <c r="J51" s="2"/>
      <c r="K51" s="2"/>
      <c r="L51" s="2"/>
      <c r="M51" s="2"/>
      <c r="N51" s="2"/>
      <c r="O51" s="2"/>
      <c r="P51" s="2"/>
      <c r="Q51" s="2"/>
      <c r="R51" s="2"/>
      <c r="S51" s="2"/>
      <c r="T51" s="2"/>
      <c r="U51" s="2"/>
      <c r="V51" s="2"/>
      <c r="W51" s="2"/>
      <c r="X51" s="2"/>
      <c r="Y51" s="2"/>
      <c r="Z51" s="2"/>
    </row>
    <row r="52">
      <c r="A52" s="2"/>
      <c r="B52" s="2"/>
      <c r="C52" s="2"/>
      <c r="D52" s="2"/>
      <c r="E52" s="2"/>
      <c r="F52" s="23"/>
      <c r="G52" s="2"/>
      <c r="H52" s="2"/>
      <c r="I52" s="2"/>
      <c r="J52" s="2"/>
      <c r="K52" s="2"/>
      <c r="L52" s="2"/>
      <c r="M52" s="2"/>
      <c r="N52" s="2"/>
      <c r="O52" s="2"/>
      <c r="P52" s="2"/>
      <c r="Q52" s="2"/>
      <c r="R52" s="2"/>
      <c r="S52" s="2"/>
      <c r="T52" s="2"/>
      <c r="U52" s="2"/>
      <c r="V52" s="2"/>
      <c r="W52" s="2"/>
      <c r="X52" s="2"/>
      <c r="Y52" s="2"/>
      <c r="Z52" s="2"/>
    </row>
    <row r="53">
      <c r="A53" s="2"/>
      <c r="B53" s="2"/>
      <c r="C53" s="2"/>
      <c r="D53" s="2"/>
      <c r="E53" s="2"/>
      <c r="F53" s="23"/>
      <c r="G53" s="2"/>
      <c r="H53" s="2"/>
      <c r="I53" s="2"/>
      <c r="J53" s="2"/>
      <c r="K53" s="2"/>
      <c r="L53" s="2"/>
      <c r="M53" s="2"/>
      <c r="N53" s="2"/>
      <c r="O53" s="2"/>
      <c r="P53" s="2"/>
      <c r="Q53" s="2"/>
      <c r="R53" s="2"/>
      <c r="S53" s="2"/>
      <c r="T53" s="2"/>
      <c r="U53" s="2"/>
      <c r="V53" s="2"/>
      <c r="W53" s="2"/>
      <c r="X53" s="2"/>
      <c r="Y53" s="2"/>
      <c r="Z53" s="2"/>
    </row>
    <row r="54">
      <c r="A54" s="2"/>
      <c r="B54" s="2"/>
      <c r="C54" s="2"/>
      <c r="D54" s="2"/>
      <c r="E54" s="2"/>
      <c r="F54" s="23"/>
      <c r="G54" s="2"/>
      <c r="H54" s="2"/>
      <c r="I54" s="2"/>
      <c r="J54" s="2"/>
      <c r="K54" s="2"/>
      <c r="L54" s="2"/>
      <c r="M54" s="2"/>
      <c r="N54" s="2"/>
      <c r="O54" s="2"/>
      <c r="P54" s="2"/>
      <c r="Q54" s="2"/>
      <c r="R54" s="2"/>
      <c r="S54" s="2"/>
      <c r="T54" s="2"/>
      <c r="U54" s="2"/>
      <c r="V54" s="2"/>
      <c r="W54" s="2"/>
      <c r="X54" s="2"/>
      <c r="Y54" s="2"/>
      <c r="Z54" s="2"/>
    </row>
    <row r="55">
      <c r="A55" s="2"/>
      <c r="B55" s="2"/>
      <c r="C55" s="2"/>
      <c r="D55" s="2"/>
      <c r="E55" s="2"/>
      <c r="F55" s="23"/>
      <c r="G55" s="2"/>
      <c r="H55" s="2"/>
      <c r="I55" s="2"/>
      <c r="J55" s="2"/>
      <c r="K55" s="2"/>
      <c r="L55" s="2"/>
      <c r="M55" s="2"/>
      <c r="N55" s="2"/>
      <c r="O55" s="2"/>
      <c r="P55" s="2"/>
      <c r="Q55" s="2"/>
      <c r="R55" s="2"/>
      <c r="S55" s="2"/>
      <c r="T55" s="2"/>
      <c r="U55" s="2"/>
      <c r="V55" s="2"/>
      <c r="W55" s="2"/>
      <c r="X55" s="2"/>
      <c r="Y55" s="2"/>
      <c r="Z55" s="2"/>
    </row>
    <row r="56">
      <c r="A56" s="2"/>
      <c r="B56" s="2"/>
      <c r="C56" s="2"/>
      <c r="D56" s="2"/>
      <c r="E56" s="2"/>
      <c r="F56" s="23"/>
      <c r="G56" s="2"/>
      <c r="H56" s="2"/>
      <c r="I56" s="2"/>
      <c r="J56" s="2"/>
      <c r="K56" s="2"/>
      <c r="L56" s="2"/>
      <c r="M56" s="2"/>
      <c r="N56" s="2"/>
      <c r="O56" s="2"/>
      <c r="P56" s="2"/>
      <c r="Q56" s="2"/>
      <c r="R56" s="2"/>
      <c r="S56" s="2"/>
      <c r="T56" s="2"/>
      <c r="U56" s="2"/>
      <c r="V56" s="2"/>
      <c r="W56" s="2"/>
      <c r="X56" s="2"/>
      <c r="Y56" s="2"/>
      <c r="Z56" s="2"/>
    </row>
    <row r="57">
      <c r="A57" s="2"/>
      <c r="B57" s="2"/>
      <c r="C57" s="2"/>
      <c r="D57" s="2"/>
      <c r="E57" s="2"/>
      <c r="F57" s="23"/>
      <c r="G57" s="2"/>
      <c r="H57" s="2"/>
      <c r="I57" s="2"/>
      <c r="J57" s="2"/>
      <c r="K57" s="2"/>
      <c r="L57" s="2"/>
      <c r="M57" s="2"/>
      <c r="N57" s="2"/>
      <c r="O57" s="2"/>
      <c r="P57" s="2"/>
      <c r="Q57" s="2"/>
      <c r="R57" s="2"/>
      <c r="S57" s="2"/>
      <c r="T57" s="2"/>
      <c r="U57" s="2"/>
      <c r="V57" s="2"/>
      <c r="W57" s="2"/>
      <c r="X57" s="2"/>
      <c r="Y57" s="2"/>
      <c r="Z57" s="2"/>
    </row>
    <row r="58">
      <c r="A58" s="2"/>
      <c r="B58" s="2"/>
      <c r="C58" s="2"/>
      <c r="D58" s="2"/>
      <c r="E58" s="2"/>
      <c r="F58" s="23"/>
      <c r="G58" s="2"/>
      <c r="H58" s="2"/>
      <c r="I58" s="2"/>
      <c r="J58" s="2"/>
      <c r="K58" s="2"/>
      <c r="L58" s="2"/>
      <c r="M58" s="2"/>
      <c r="N58" s="2"/>
      <c r="O58" s="2"/>
      <c r="P58" s="2"/>
      <c r="Q58" s="2"/>
      <c r="R58" s="2"/>
      <c r="S58" s="2"/>
      <c r="T58" s="2"/>
      <c r="U58" s="2"/>
      <c r="V58" s="2"/>
      <c r="W58" s="2"/>
      <c r="X58" s="2"/>
      <c r="Y58" s="2"/>
      <c r="Z58" s="2"/>
    </row>
    <row r="59">
      <c r="A59" s="2"/>
      <c r="B59" s="2"/>
      <c r="C59" s="2"/>
      <c r="D59" s="2"/>
      <c r="E59" s="2"/>
      <c r="F59" s="23"/>
      <c r="G59" s="2"/>
      <c r="H59" s="2"/>
      <c r="I59" s="2"/>
      <c r="J59" s="2"/>
      <c r="K59" s="2"/>
      <c r="L59" s="2"/>
      <c r="M59" s="2"/>
      <c r="N59" s="2"/>
      <c r="O59" s="2"/>
      <c r="P59" s="2"/>
      <c r="Q59" s="2"/>
      <c r="R59" s="2"/>
      <c r="S59" s="2"/>
      <c r="T59" s="2"/>
      <c r="U59" s="2"/>
      <c r="V59" s="2"/>
      <c r="W59" s="2"/>
      <c r="X59" s="2"/>
      <c r="Y59" s="2"/>
      <c r="Z59" s="2"/>
    </row>
    <row r="60">
      <c r="A60" s="2"/>
      <c r="B60" s="2"/>
      <c r="C60" s="2"/>
      <c r="D60" s="2"/>
      <c r="E60" s="2"/>
      <c r="F60" s="23"/>
      <c r="G60" s="2"/>
      <c r="H60" s="2"/>
      <c r="I60" s="2"/>
      <c r="J60" s="2"/>
      <c r="K60" s="2"/>
      <c r="L60" s="2"/>
      <c r="M60" s="2"/>
      <c r="N60" s="2"/>
      <c r="O60" s="2"/>
      <c r="P60" s="2"/>
      <c r="Q60" s="2"/>
      <c r="R60" s="2"/>
      <c r="S60" s="2"/>
      <c r="T60" s="2"/>
      <c r="U60" s="2"/>
      <c r="V60" s="2"/>
      <c r="W60" s="2"/>
      <c r="X60" s="2"/>
      <c r="Y60" s="2"/>
      <c r="Z60" s="2"/>
    </row>
    <row r="61">
      <c r="A61" s="2"/>
      <c r="B61" s="2"/>
      <c r="C61" s="2"/>
      <c r="D61" s="2"/>
      <c r="E61" s="2"/>
      <c r="F61" s="23"/>
      <c r="G61" s="2"/>
      <c r="H61" s="2"/>
      <c r="I61" s="2"/>
      <c r="J61" s="2"/>
      <c r="K61" s="2"/>
      <c r="L61" s="2"/>
      <c r="M61" s="2"/>
      <c r="N61" s="2"/>
      <c r="O61" s="2"/>
      <c r="P61" s="2"/>
      <c r="Q61" s="2"/>
      <c r="R61" s="2"/>
      <c r="S61" s="2"/>
      <c r="T61" s="2"/>
      <c r="U61" s="2"/>
      <c r="V61" s="2"/>
      <c r="W61" s="2"/>
      <c r="X61" s="2"/>
      <c r="Y61" s="2"/>
      <c r="Z61" s="2"/>
    </row>
    <row r="62">
      <c r="A62" s="2"/>
      <c r="B62" s="2"/>
      <c r="C62" s="2"/>
      <c r="D62" s="2"/>
      <c r="E62" s="2"/>
      <c r="F62" s="23"/>
      <c r="G62" s="2"/>
      <c r="H62" s="2"/>
      <c r="I62" s="2"/>
      <c r="J62" s="2"/>
      <c r="K62" s="2"/>
      <c r="L62" s="2"/>
      <c r="M62" s="2"/>
      <c r="N62" s="2"/>
      <c r="O62" s="2"/>
      <c r="P62" s="2"/>
      <c r="Q62" s="2"/>
      <c r="R62" s="2"/>
      <c r="S62" s="2"/>
      <c r="T62" s="2"/>
      <c r="U62" s="2"/>
      <c r="V62" s="2"/>
      <c r="W62" s="2"/>
      <c r="X62" s="2"/>
      <c r="Y62" s="2"/>
      <c r="Z62" s="2"/>
    </row>
    <row r="63">
      <c r="A63" s="2"/>
      <c r="B63" s="2"/>
      <c r="C63" s="2"/>
      <c r="D63" s="2"/>
      <c r="E63" s="2"/>
      <c r="F63" s="23"/>
      <c r="G63" s="2"/>
      <c r="H63" s="2"/>
      <c r="I63" s="2"/>
      <c r="J63" s="2"/>
      <c r="K63" s="2"/>
      <c r="L63" s="2"/>
      <c r="M63" s="2"/>
      <c r="N63" s="2"/>
      <c r="O63" s="2"/>
      <c r="P63" s="2"/>
      <c r="Q63" s="2"/>
      <c r="R63" s="2"/>
      <c r="S63" s="2"/>
      <c r="T63" s="2"/>
      <c r="U63" s="2"/>
      <c r="V63" s="2"/>
      <c r="W63" s="2"/>
      <c r="X63" s="2"/>
      <c r="Y63" s="2"/>
      <c r="Z63" s="2"/>
    </row>
    <row r="64">
      <c r="A64" s="2"/>
      <c r="B64" s="2"/>
      <c r="C64" s="2"/>
      <c r="D64" s="2"/>
      <c r="E64" s="2"/>
      <c r="F64" s="23"/>
      <c r="G64" s="2"/>
      <c r="H64" s="2"/>
      <c r="I64" s="2"/>
      <c r="J64" s="2"/>
      <c r="K64" s="2"/>
      <c r="L64" s="2"/>
      <c r="M64" s="2"/>
      <c r="N64" s="2"/>
      <c r="O64" s="2"/>
      <c r="P64" s="2"/>
      <c r="Q64" s="2"/>
      <c r="R64" s="2"/>
      <c r="S64" s="2"/>
      <c r="T64" s="2"/>
      <c r="U64" s="2"/>
      <c r="V64" s="2"/>
      <c r="W64" s="2"/>
      <c r="X64" s="2"/>
      <c r="Y64" s="2"/>
      <c r="Z64" s="2"/>
    </row>
    <row r="65">
      <c r="A65" s="2"/>
      <c r="B65" s="2"/>
      <c r="C65" s="2"/>
      <c r="D65" s="2"/>
      <c r="E65" s="2"/>
      <c r="F65" s="23"/>
      <c r="G65" s="2"/>
      <c r="H65" s="2"/>
      <c r="I65" s="2"/>
      <c r="J65" s="2"/>
      <c r="K65" s="2"/>
      <c r="L65" s="2"/>
      <c r="M65" s="2"/>
      <c r="N65" s="2"/>
      <c r="O65" s="2"/>
      <c r="P65" s="2"/>
      <c r="Q65" s="2"/>
      <c r="R65" s="2"/>
      <c r="S65" s="2"/>
      <c r="T65" s="2"/>
      <c r="U65" s="2"/>
      <c r="V65" s="2"/>
      <c r="W65" s="2"/>
      <c r="X65" s="2"/>
      <c r="Y65" s="2"/>
      <c r="Z65" s="2"/>
    </row>
    <row r="66">
      <c r="A66" s="2"/>
      <c r="B66" s="2"/>
      <c r="C66" s="2"/>
      <c r="D66" s="2"/>
      <c r="E66" s="2"/>
      <c r="F66" s="23"/>
      <c r="G66" s="2"/>
      <c r="H66" s="2"/>
      <c r="I66" s="2"/>
      <c r="J66" s="2"/>
      <c r="K66" s="2"/>
      <c r="L66" s="2"/>
      <c r="M66" s="2"/>
      <c r="N66" s="2"/>
      <c r="O66" s="2"/>
      <c r="P66" s="2"/>
      <c r="Q66" s="2"/>
      <c r="R66" s="2"/>
      <c r="S66" s="2"/>
      <c r="T66" s="2"/>
      <c r="U66" s="2"/>
      <c r="V66" s="2"/>
      <c r="W66" s="2"/>
      <c r="X66" s="2"/>
      <c r="Y66" s="2"/>
      <c r="Z66" s="2"/>
    </row>
    <row r="67">
      <c r="A67" s="2"/>
      <c r="B67" s="2"/>
      <c r="C67" s="2"/>
      <c r="D67" s="2"/>
      <c r="E67" s="2"/>
      <c r="F67" s="23"/>
      <c r="G67" s="2"/>
      <c r="H67" s="2"/>
      <c r="I67" s="2"/>
      <c r="J67" s="2"/>
      <c r="K67" s="2"/>
      <c r="L67" s="2"/>
      <c r="M67" s="2"/>
      <c r="N67" s="2"/>
      <c r="O67" s="2"/>
      <c r="P67" s="2"/>
      <c r="Q67" s="2"/>
      <c r="R67" s="2"/>
      <c r="S67" s="2"/>
      <c r="T67" s="2"/>
      <c r="U67" s="2"/>
      <c r="V67" s="2"/>
      <c r="W67" s="2"/>
      <c r="X67" s="2"/>
      <c r="Y67" s="2"/>
      <c r="Z67" s="2"/>
    </row>
    <row r="68">
      <c r="A68" s="2"/>
      <c r="B68" s="2"/>
      <c r="C68" s="2"/>
      <c r="D68" s="2"/>
      <c r="E68" s="2"/>
      <c r="F68" s="23"/>
      <c r="G68" s="2"/>
      <c r="H68" s="2"/>
      <c r="I68" s="2"/>
      <c r="J68" s="2"/>
      <c r="K68" s="2"/>
      <c r="L68" s="2"/>
      <c r="M68" s="2"/>
      <c r="N68" s="2"/>
      <c r="O68" s="2"/>
      <c r="P68" s="2"/>
      <c r="Q68" s="2"/>
      <c r="R68" s="2"/>
      <c r="S68" s="2"/>
      <c r="T68" s="2"/>
      <c r="U68" s="2"/>
      <c r="V68" s="2"/>
      <c r="W68" s="2"/>
      <c r="X68" s="2"/>
      <c r="Y68" s="2"/>
      <c r="Z68" s="2"/>
    </row>
    <row r="69">
      <c r="A69" s="2"/>
      <c r="B69" s="2"/>
      <c r="C69" s="2"/>
      <c r="D69" s="2"/>
      <c r="E69" s="2"/>
      <c r="F69" s="23"/>
      <c r="G69" s="2"/>
      <c r="H69" s="2"/>
      <c r="I69" s="2"/>
      <c r="J69" s="2"/>
      <c r="K69" s="2"/>
      <c r="L69" s="2"/>
      <c r="M69" s="2"/>
      <c r="N69" s="2"/>
      <c r="O69" s="2"/>
      <c r="P69" s="2"/>
      <c r="Q69" s="2"/>
      <c r="R69" s="2"/>
      <c r="S69" s="2"/>
      <c r="T69" s="2"/>
      <c r="U69" s="2"/>
      <c r="V69" s="2"/>
      <c r="W69" s="2"/>
      <c r="X69" s="2"/>
      <c r="Y69" s="2"/>
      <c r="Z69" s="2"/>
    </row>
    <row r="70">
      <c r="A70" s="2"/>
      <c r="B70" s="2"/>
      <c r="C70" s="2"/>
      <c r="D70" s="2"/>
      <c r="E70" s="2"/>
      <c r="F70" s="23"/>
      <c r="G70" s="2"/>
      <c r="H70" s="2"/>
      <c r="I70" s="2"/>
      <c r="J70" s="2"/>
      <c r="K70" s="2"/>
      <c r="L70" s="2"/>
      <c r="M70" s="2"/>
      <c r="N70" s="2"/>
      <c r="O70" s="2"/>
      <c r="P70" s="2"/>
      <c r="Q70" s="2"/>
      <c r="R70" s="2"/>
      <c r="S70" s="2"/>
      <c r="T70" s="2"/>
      <c r="U70" s="2"/>
      <c r="V70" s="2"/>
      <c r="W70" s="2"/>
      <c r="X70" s="2"/>
      <c r="Y70" s="2"/>
      <c r="Z70" s="2"/>
    </row>
    <row r="71">
      <c r="A71" s="2"/>
      <c r="B71" s="2"/>
      <c r="C71" s="2"/>
      <c r="D71" s="2"/>
      <c r="E71" s="2"/>
      <c r="F71" s="23"/>
      <c r="G71" s="2"/>
      <c r="H71" s="2"/>
      <c r="I71" s="2"/>
      <c r="J71" s="2"/>
      <c r="K71" s="2"/>
      <c r="L71" s="2"/>
      <c r="M71" s="2"/>
      <c r="N71" s="2"/>
      <c r="O71" s="2"/>
      <c r="P71" s="2"/>
      <c r="Q71" s="2"/>
      <c r="R71" s="2"/>
      <c r="S71" s="2"/>
      <c r="T71" s="2"/>
      <c r="U71" s="2"/>
      <c r="V71" s="2"/>
      <c r="W71" s="2"/>
      <c r="X71" s="2"/>
      <c r="Y71" s="2"/>
      <c r="Z71" s="2"/>
    </row>
    <row r="72">
      <c r="A72" s="2"/>
      <c r="B72" s="2"/>
      <c r="C72" s="2"/>
      <c r="D72" s="2"/>
      <c r="E72" s="2"/>
      <c r="F72" s="23"/>
      <c r="G72" s="2"/>
      <c r="H72" s="2"/>
      <c r="I72" s="2"/>
      <c r="J72" s="2"/>
      <c r="K72" s="2"/>
      <c r="L72" s="2"/>
      <c r="M72" s="2"/>
      <c r="N72" s="2"/>
      <c r="O72" s="2"/>
      <c r="P72" s="2"/>
      <c r="Q72" s="2"/>
      <c r="R72" s="2"/>
      <c r="S72" s="2"/>
      <c r="T72" s="2"/>
      <c r="U72" s="2"/>
      <c r="V72" s="2"/>
      <c r="W72" s="2"/>
      <c r="X72" s="2"/>
      <c r="Y72" s="2"/>
      <c r="Z72" s="2"/>
    </row>
    <row r="73">
      <c r="A73" s="2"/>
      <c r="B73" s="2"/>
      <c r="C73" s="2"/>
      <c r="D73" s="2"/>
      <c r="E73" s="2"/>
      <c r="F73" s="23"/>
      <c r="G73" s="2"/>
      <c r="H73" s="2"/>
      <c r="I73" s="2"/>
      <c r="J73" s="2"/>
      <c r="K73" s="2"/>
      <c r="L73" s="2"/>
      <c r="M73" s="2"/>
      <c r="N73" s="2"/>
      <c r="O73" s="2"/>
      <c r="P73" s="2"/>
      <c r="Q73" s="2"/>
      <c r="R73" s="2"/>
      <c r="S73" s="2"/>
      <c r="T73" s="2"/>
      <c r="U73" s="2"/>
      <c r="V73" s="2"/>
      <c r="W73" s="2"/>
      <c r="X73" s="2"/>
      <c r="Y73" s="2"/>
      <c r="Z73" s="2"/>
    </row>
    <row r="74">
      <c r="A74" s="2"/>
      <c r="B74" s="2"/>
      <c r="C74" s="2"/>
      <c r="D74" s="2"/>
      <c r="E74" s="2"/>
      <c r="F74" s="23"/>
      <c r="G74" s="2"/>
      <c r="H74" s="2"/>
      <c r="I74" s="2"/>
      <c r="J74" s="2"/>
      <c r="K74" s="2"/>
      <c r="L74" s="2"/>
      <c r="M74" s="2"/>
      <c r="N74" s="2"/>
      <c r="O74" s="2"/>
      <c r="P74" s="2"/>
      <c r="Q74" s="2"/>
      <c r="R74" s="2"/>
      <c r="S74" s="2"/>
      <c r="T74" s="2"/>
      <c r="U74" s="2"/>
      <c r="V74" s="2"/>
      <c r="W74" s="2"/>
      <c r="X74" s="2"/>
      <c r="Y74" s="2"/>
      <c r="Z74" s="2"/>
    </row>
    <row r="75">
      <c r="A75" s="2"/>
      <c r="B75" s="2"/>
      <c r="C75" s="2"/>
      <c r="D75" s="2"/>
      <c r="E75" s="2"/>
      <c r="F75" s="23"/>
      <c r="G75" s="2"/>
      <c r="H75" s="2"/>
      <c r="I75" s="2"/>
      <c r="J75" s="2"/>
      <c r="K75" s="2"/>
      <c r="L75" s="2"/>
      <c r="M75" s="2"/>
      <c r="N75" s="2"/>
      <c r="O75" s="2"/>
      <c r="P75" s="2"/>
      <c r="Q75" s="2"/>
      <c r="R75" s="2"/>
      <c r="S75" s="2"/>
      <c r="T75" s="2"/>
      <c r="U75" s="2"/>
      <c r="V75" s="2"/>
      <c r="W75" s="2"/>
      <c r="X75" s="2"/>
      <c r="Y75" s="2"/>
      <c r="Z75" s="2"/>
    </row>
    <row r="76">
      <c r="A76" s="2"/>
      <c r="B76" s="2"/>
      <c r="C76" s="2"/>
      <c r="D76" s="2"/>
      <c r="E76" s="2"/>
      <c r="F76" s="23"/>
      <c r="G76" s="2"/>
      <c r="H76" s="2"/>
      <c r="I76" s="2"/>
      <c r="J76" s="2"/>
      <c r="K76" s="2"/>
      <c r="L76" s="2"/>
      <c r="M76" s="2"/>
      <c r="N76" s="2"/>
      <c r="O76" s="2"/>
      <c r="P76" s="2"/>
      <c r="Q76" s="2"/>
      <c r="R76" s="2"/>
      <c r="S76" s="2"/>
      <c r="T76" s="2"/>
      <c r="U76" s="2"/>
      <c r="V76" s="2"/>
      <c r="W76" s="2"/>
      <c r="X76" s="2"/>
      <c r="Y76" s="2"/>
      <c r="Z76" s="2"/>
    </row>
    <row r="77">
      <c r="A77" s="2"/>
      <c r="B77" s="2"/>
      <c r="C77" s="2"/>
      <c r="D77" s="2"/>
      <c r="E77" s="2"/>
      <c r="F77" s="23"/>
      <c r="G77" s="2"/>
      <c r="H77" s="2"/>
      <c r="I77" s="2"/>
      <c r="J77" s="2"/>
      <c r="K77" s="2"/>
      <c r="L77" s="2"/>
      <c r="M77" s="2"/>
      <c r="N77" s="2"/>
      <c r="O77" s="2"/>
      <c r="P77" s="2"/>
      <c r="Q77" s="2"/>
      <c r="R77" s="2"/>
      <c r="S77" s="2"/>
      <c r="T77" s="2"/>
      <c r="U77" s="2"/>
      <c r="V77" s="2"/>
      <c r="W77" s="2"/>
      <c r="X77" s="2"/>
      <c r="Y77" s="2"/>
      <c r="Z77" s="2"/>
    </row>
    <row r="78">
      <c r="A78" s="2"/>
      <c r="B78" s="2"/>
      <c r="C78" s="2"/>
      <c r="D78" s="2"/>
      <c r="E78" s="2"/>
      <c r="F78" s="23"/>
      <c r="G78" s="2"/>
      <c r="H78" s="2"/>
      <c r="I78" s="2"/>
      <c r="J78" s="2"/>
      <c r="K78" s="2"/>
      <c r="L78" s="2"/>
      <c r="M78" s="2"/>
      <c r="N78" s="2"/>
      <c r="O78" s="2"/>
      <c r="P78" s="2"/>
      <c r="Q78" s="2"/>
      <c r="R78" s="2"/>
      <c r="S78" s="2"/>
      <c r="T78" s="2"/>
      <c r="U78" s="2"/>
      <c r="V78" s="2"/>
      <c r="W78" s="2"/>
      <c r="X78" s="2"/>
      <c r="Y78" s="2"/>
      <c r="Z78" s="2"/>
    </row>
    <row r="79">
      <c r="A79" s="2"/>
      <c r="B79" s="2"/>
      <c r="C79" s="2"/>
      <c r="D79" s="2"/>
      <c r="E79" s="2"/>
      <c r="F79" s="23"/>
      <c r="G79" s="2"/>
      <c r="H79" s="2"/>
      <c r="I79" s="2"/>
      <c r="J79" s="2"/>
      <c r="K79" s="2"/>
      <c r="L79" s="2"/>
      <c r="M79" s="2"/>
      <c r="N79" s="2"/>
      <c r="O79" s="2"/>
      <c r="P79" s="2"/>
      <c r="Q79" s="2"/>
      <c r="R79" s="2"/>
      <c r="S79" s="2"/>
      <c r="T79" s="2"/>
      <c r="U79" s="2"/>
      <c r="V79" s="2"/>
      <c r="W79" s="2"/>
      <c r="X79" s="2"/>
      <c r="Y79" s="2"/>
      <c r="Z79" s="2"/>
    </row>
    <row r="80">
      <c r="A80" s="2"/>
      <c r="B80" s="2"/>
      <c r="C80" s="2"/>
      <c r="D80" s="2"/>
      <c r="E80" s="2"/>
      <c r="F80" s="23"/>
      <c r="G80" s="2"/>
      <c r="H80" s="2"/>
      <c r="I80" s="2"/>
      <c r="J80" s="2"/>
      <c r="K80" s="2"/>
      <c r="L80" s="2"/>
      <c r="M80" s="2"/>
      <c r="N80" s="2"/>
      <c r="O80" s="2"/>
      <c r="P80" s="2"/>
      <c r="Q80" s="2"/>
      <c r="R80" s="2"/>
      <c r="S80" s="2"/>
      <c r="T80" s="2"/>
      <c r="U80" s="2"/>
      <c r="V80" s="2"/>
      <c r="W80" s="2"/>
      <c r="X80" s="2"/>
      <c r="Y80" s="2"/>
      <c r="Z80" s="2"/>
    </row>
    <row r="81">
      <c r="A81" s="2"/>
      <c r="B81" s="2"/>
      <c r="C81" s="2"/>
      <c r="D81" s="2"/>
      <c r="E81" s="2"/>
      <c r="F81" s="23"/>
      <c r="G81" s="2"/>
      <c r="H81" s="2"/>
      <c r="I81" s="2"/>
      <c r="J81" s="2"/>
      <c r="K81" s="2"/>
      <c r="L81" s="2"/>
      <c r="M81" s="2"/>
      <c r="N81" s="2"/>
      <c r="O81" s="2"/>
      <c r="P81" s="2"/>
      <c r="Q81" s="2"/>
      <c r="R81" s="2"/>
      <c r="S81" s="2"/>
      <c r="T81" s="2"/>
      <c r="U81" s="2"/>
      <c r="V81" s="2"/>
      <c r="W81" s="2"/>
      <c r="X81" s="2"/>
      <c r="Y81" s="2"/>
      <c r="Z81" s="2"/>
    </row>
    <row r="82">
      <c r="A82" s="2"/>
      <c r="B82" s="2"/>
      <c r="C82" s="2"/>
      <c r="D82" s="2"/>
      <c r="E82" s="2"/>
      <c r="F82" s="23"/>
      <c r="G82" s="2"/>
      <c r="H82" s="2"/>
      <c r="I82" s="2"/>
      <c r="J82" s="2"/>
      <c r="K82" s="2"/>
      <c r="L82" s="2"/>
      <c r="M82" s="2"/>
      <c r="N82" s="2"/>
      <c r="O82" s="2"/>
      <c r="P82" s="2"/>
      <c r="Q82" s="2"/>
      <c r="R82" s="2"/>
      <c r="S82" s="2"/>
      <c r="T82" s="2"/>
      <c r="U82" s="2"/>
      <c r="V82" s="2"/>
      <c r="W82" s="2"/>
      <c r="X82" s="2"/>
      <c r="Y82" s="2"/>
      <c r="Z82" s="2"/>
    </row>
    <row r="83">
      <c r="A83" s="2"/>
      <c r="B83" s="2"/>
      <c r="C83" s="2"/>
      <c r="D83" s="2"/>
      <c r="E83" s="2"/>
      <c r="F83" s="23"/>
      <c r="G83" s="2"/>
      <c r="H83" s="2"/>
      <c r="I83" s="2"/>
      <c r="J83" s="2"/>
      <c r="K83" s="2"/>
      <c r="L83" s="2"/>
      <c r="M83" s="2"/>
      <c r="N83" s="2"/>
      <c r="O83" s="2"/>
      <c r="P83" s="2"/>
      <c r="Q83" s="2"/>
      <c r="R83" s="2"/>
      <c r="S83" s="2"/>
      <c r="T83" s="2"/>
      <c r="U83" s="2"/>
      <c r="V83" s="2"/>
      <c r="W83" s="2"/>
      <c r="X83" s="2"/>
      <c r="Y83" s="2"/>
      <c r="Z83" s="2"/>
    </row>
    <row r="84">
      <c r="A84" s="2"/>
      <c r="B84" s="2"/>
      <c r="C84" s="2"/>
      <c r="D84" s="2"/>
      <c r="E84" s="2"/>
      <c r="F84" s="23"/>
      <c r="G84" s="2"/>
      <c r="H84" s="2"/>
      <c r="I84" s="2"/>
      <c r="J84" s="2"/>
      <c r="K84" s="2"/>
      <c r="L84" s="2"/>
      <c r="M84" s="2"/>
      <c r="N84" s="2"/>
      <c r="O84" s="2"/>
      <c r="P84" s="2"/>
      <c r="Q84" s="2"/>
      <c r="R84" s="2"/>
      <c r="S84" s="2"/>
      <c r="T84" s="2"/>
      <c r="U84" s="2"/>
      <c r="V84" s="2"/>
      <c r="W84" s="2"/>
      <c r="X84" s="2"/>
      <c r="Y84" s="2"/>
      <c r="Z84" s="2"/>
    </row>
    <row r="85">
      <c r="A85" s="2"/>
      <c r="B85" s="2"/>
      <c r="C85" s="2"/>
      <c r="D85" s="2"/>
      <c r="E85" s="2"/>
      <c r="F85" s="23"/>
      <c r="G85" s="2"/>
      <c r="H85" s="2"/>
      <c r="I85" s="2"/>
      <c r="J85" s="2"/>
      <c r="K85" s="2"/>
      <c r="L85" s="2"/>
      <c r="M85" s="2"/>
      <c r="N85" s="2"/>
      <c r="O85" s="2"/>
      <c r="P85" s="2"/>
      <c r="Q85" s="2"/>
      <c r="R85" s="2"/>
      <c r="S85" s="2"/>
      <c r="T85" s="2"/>
      <c r="U85" s="2"/>
      <c r="V85" s="2"/>
      <c r="W85" s="2"/>
      <c r="X85" s="2"/>
      <c r="Y85" s="2"/>
      <c r="Z85" s="2"/>
    </row>
    <row r="86">
      <c r="A86" s="2"/>
      <c r="B86" s="2"/>
      <c r="C86" s="2"/>
      <c r="D86" s="2"/>
      <c r="E86" s="2"/>
      <c r="F86" s="23"/>
      <c r="G86" s="2"/>
      <c r="H86" s="2"/>
      <c r="I86" s="2"/>
      <c r="J86" s="2"/>
      <c r="K86" s="2"/>
      <c r="L86" s="2"/>
      <c r="M86" s="2"/>
      <c r="N86" s="2"/>
      <c r="O86" s="2"/>
      <c r="P86" s="2"/>
      <c r="Q86" s="2"/>
      <c r="R86" s="2"/>
      <c r="S86" s="2"/>
      <c r="T86" s="2"/>
      <c r="U86" s="2"/>
      <c r="V86" s="2"/>
      <c r="W86" s="2"/>
      <c r="X86" s="2"/>
      <c r="Y86" s="2"/>
      <c r="Z86" s="2"/>
    </row>
    <row r="87">
      <c r="A87" s="2"/>
      <c r="B87" s="2"/>
      <c r="C87" s="2"/>
      <c r="D87" s="2"/>
      <c r="E87" s="2"/>
      <c r="F87" s="23"/>
      <c r="G87" s="2"/>
      <c r="H87" s="2"/>
      <c r="I87" s="2"/>
      <c r="J87" s="2"/>
      <c r="K87" s="2"/>
      <c r="L87" s="2"/>
      <c r="M87" s="2"/>
      <c r="N87" s="2"/>
      <c r="O87" s="2"/>
      <c r="P87" s="2"/>
      <c r="Q87" s="2"/>
      <c r="R87" s="2"/>
      <c r="S87" s="2"/>
      <c r="T87" s="2"/>
      <c r="U87" s="2"/>
      <c r="V87" s="2"/>
      <c r="W87" s="2"/>
      <c r="X87" s="2"/>
      <c r="Y87" s="2"/>
      <c r="Z87" s="2"/>
    </row>
    <row r="88">
      <c r="A88" s="2"/>
      <c r="B88" s="2"/>
      <c r="C88" s="2"/>
      <c r="D88" s="2"/>
      <c r="E88" s="2"/>
      <c r="F88" s="23"/>
      <c r="G88" s="2"/>
      <c r="H88" s="2"/>
      <c r="I88" s="2"/>
      <c r="J88" s="2"/>
      <c r="K88" s="2"/>
      <c r="L88" s="2"/>
      <c r="M88" s="2"/>
      <c r="N88" s="2"/>
      <c r="O88" s="2"/>
      <c r="P88" s="2"/>
      <c r="Q88" s="2"/>
      <c r="R88" s="2"/>
      <c r="S88" s="2"/>
      <c r="T88" s="2"/>
      <c r="U88" s="2"/>
      <c r="V88" s="2"/>
      <c r="W88" s="2"/>
      <c r="X88" s="2"/>
      <c r="Y88" s="2"/>
      <c r="Z88" s="2"/>
    </row>
    <row r="89">
      <c r="A89" s="2"/>
      <c r="B89" s="2"/>
      <c r="C89" s="2"/>
      <c r="D89" s="2"/>
      <c r="E89" s="2"/>
      <c r="F89" s="23"/>
      <c r="G89" s="2"/>
      <c r="H89" s="2"/>
      <c r="I89" s="2"/>
      <c r="J89" s="2"/>
      <c r="K89" s="2"/>
      <c r="L89" s="2"/>
      <c r="M89" s="2"/>
      <c r="N89" s="2"/>
      <c r="O89" s="2"/>
      <c r="P89" s="2"/>
      <c r="Q89" s="2"/>
      <c r="R89" s="2"/>
      <c r="S89" s="2"/>
      <c r="T89" s="2"/>
      <c r="U89" s="2"/>
      <c r="V89" s="2"/>
      <c r="W89" s="2"/>
      <c r="X89" s="2"/>
      <c r="Y89" s="2"/>
      <c r="Z89" s="2"/>
    </row>
    <row r="90">
      <c r="A90" s="2"/>
      <c r="B90" s="2"/>
      <c r="C90" s="2"/>
      <c r="D90" s="2"/>
      <c r="E90" s="2"/>
      <c r="F90" s="23"/>
      <c r="G90" s="2"/>
      <c r="H90" s="2"/>
      <c r="I90" s="2"/>
      <c r="J90" s="2"/>
      <c r="K90" s="2"/>
      <c r="L90" s="2"/>
      <c r="M90" s="2"/>
      <c r="N90" s="2"/>
      <c r="O90" s="2"/>
      <c r="P90" s="2"/>
      <c r="Q90" s="2"/>
      <c r="R90" s="2"/>
      <c r="S90" s="2"/>
      <c r="T90" s="2"/>
      <c r="U90" s="2"/>
      <c r="V90" s="2"/>
      <c r="W90" s="2"/>
      <c r="X90" s="2"/>
      <c r="Y90" s="2"/>
      <c r="Z90" s="2"/>
    </row>
    <row r="91">
      <c r="A91" s="2"/>
      <c r="B91" s="2"/>
      <c r="C91" s="2"/>
      <c r="D91" s="2"/>
      <c r="E91" s="2"/>
      <c r="F91" s="23"/>
      <c r="G91" s="2"/>
      <c r="H91" s="2"/>
      <c r="I91" s="2"/>
      <c r="J91" s="2"/>
      <c r="K91" s="2"/>
      <c r="L91" s="2"/>
      <c r="M91" s="2"/>
      <c r="N91" s="2"/>
      <c r="O91" s="2"/>
      <c r="P91" s="2"/>
      <c r="Q91" s="2"/>
      <c r="R91" s="2"/>
      <c r="S91" s="2"/>
      <c r="T91" s="2"/>
      <c r="U91" s="2"/>
      <c r="V91" s="2"/>
      <c r="W91" s="2"/>
      <c r="X91" s="2"/>
      <c r="Y91" s="2"/>
      <c r="Z91" s="2"/>
    </row>
    <row r="92">
      <c r="A92" s="2"/>
      <c r="B92" s="2"/>
      <c r="C92" s="2"/>
      <c r="D92" s="2"/>
      <c r="E92" s="2"/>
      <c r="F92" s="23"/>
      <c r="G92" s="2"/>
      <c r="H92" s="2"/>
      <c r="I92" s="2"/>
      <c r="J92" s="2"/>
      <c r="K92" s="2"/>
      <c r="L92" s="2"/>
      <c r="M92" s="2"/>
      <c r="N92" s="2"/>
      <c r="O92" s="2"/>
      <c r="P92" s="2"/>
      <c r="Q92" s="2"/>
      <c r="R92" s="2"/>
      <c r="S92" s="2"/>
      <c r="T92" s="2"/>
      <c r="U92" s="2"/>
      <c r="V92" s="2"/>
      <c r="W92" s="2"/>
      <c r="X92" s="2"/>
      <c r="Y92" s="2"/>
      <c r="Z92" s="2"/>
    </row>
    <row r="93">
      <c r="A93" s="2"/>
      <c r="B93" s="2"/>
      <c r="C93" s="2"/>
      <c r="D93" s="2"/>
      <c r="E93" s="2"/>
      <c r="F93" s="23"/>
      <c r="G93" s="2"/>
      <c r="H93" s="2"/>
      <c r="I93" s="2"/>
      <c r="J93" s="2"/>
      <c r="K93" s="2"/>
      <c r="L93" s="2"/>
      <c r="M93" s="2"/>
      <c r="N93" s="2"/>
      <c r="O93" s="2"/>
      <c r="P93" s="2"/>
      <c r="Q93" s="2"/>
      <c r="R93" s="2"/>
      <c r="S93" s="2"/>
      <c r="T93" s="2"/>
      <c r="U93" s="2"/>
      <c r="V93" s="2"/>
      <c r="W93" s="2"/>
      <c r="X93" s="2"/>
      <c r="Y93" s="2"/>
      <c r="Z93" s="2"/>
    </row>
    <row r="94">
      <c r="A94" s="2"/>
      <c r="B94" s="2"/>
      <c r="C94" s="2"/>
      <c r="D94" s="2"/>
      <c r="E94" s="2"/>
      <c r="F94" s="23"/>
      <c r="G94" s="2"/>
      <c r="H94" s="2"/>
      <c r="I94" s="2"/>
      <c r="J94" s="2"/>
      <c r="K94" s="2"/>
      <c r="L94" s="2"/>
      <c r="M94" s="2"/>
      <c r="N94" s="2"/>
      <c r="O94" s="2"/>
      <c r="P94" s="2"/>
      <c r="Q94" s="2"/>
      <c r="R94" s="2"/>
      <c r="S94" s="2"/>
      <c r="T94" s="2"/>
      <c r="U94" s="2"/>
      <c r="V94" s="2"/>
      <c r="W94" s="2"/>
      <c r="X94" s="2"/>
      <c r="Y94" s="2"/>
      <c r="Z94" s="2"/>
    </row>
    <row r="95">
      <c r="A95" s="2"/>
      <c r="B95" s="2"/>
      <c r="C95" s="2"/>
      <c r="D95" s="2"/>
      <c r="E95" s="2"/>
      <c r="F95" s="23"/>
      <c r="G95" s="2"/>
      <c r="H95" s="2"/>
      <c r="I95" s="2"/>
      <c r="J95" s="2"/>
      <c r="K95" s="2"/>
      <c r="L95" s="2"/>
      <c r="M95" s="2"/>
      <c r="N95" s="2"/>
      <c r="O95" s="2"/>
      <c r="P95" s="2"/>
      <c r="Q95" s="2"/>
      <c r="R95" s="2"/>
      <c r="S95" s="2"/>
      <c r="T95" s="2"/>
      <c r="U95" s="2"/>
      <c r="V95" s="2"/>
      <c r="W95" s="2"/>
      <c r="X95" s="2"/>
      <c r="Y95" s="2"/>
      <c r="Z95" s="2"/>
    </row>
    <row r="96">
      <c r="A96" s="2"/>
      <c r="B96" s="2"/>
      <c r="C96" s="2"/>
      <c r="D96" s="2"/>
      <c r="E96" s="2"/>
      <c r="F96" s="23"/>
      <c r="G96" s="2"/>
      <c r="H96" s="2"/>
      <c r="I96" s="2"/>
      <c r="J96" s="2"/>
      <c r="K96" s="2"/>
      <c r="L96" s="2"/>
      <c r="M96" s="2"/>
      <c r="N96" s="2"/>
      <c r="O96" s="2"/>
      <c r="P96" s="2"/>
      <c r="Q96" s="2"/>
      <c r="R96" s="2"/>
      <c r="S96" s="2"/>
      <c r="T96" s="2"/>
      <c r="U96" s="2"/>
      <c r="V96" s="2"/>
      <c r="W96" s="2"/>
      <c r="X96" s="2"/>
      <c r="Y96" s="2"/>
      <c r="Z96" s="2"/>
    </row>
    <row r="97">
      <c r="A97" s="2"/>
      <c r="B97" s="2"/>
      <c r="C97" s="2"/>
      <c r="D97" s="2"/>
      <c r="E97" s="2"/>
      <c r="F97" s="23"/>
      <c r="G97" s="2"/>
      <c r="H97" s="2"/>
      <c r="I97" s="2"/>
      <c r="J97" s="2"/>
      <c r="K97" s="2"/>
      <c r="L97" s="2"/>
      <c r="M97" s="2"/>
      <c r="N97" s="2"/>
      <c r="O97" s="2"/>
      <c r="P97" s="2"/>
      <c r="Q97" s="2"/>
      <c r="R97" s="2"/>
      <c r="S97" s="2"/>
      <c r="T97" s="2"/>
      <c r="U97" s="2"/>
      <c r="V97" s="2"/>
      <c r="W97" s="2"/>
      <c r="X97" s="2"/>
      <c r="Y97" s="2"/>
      <c r="Z97" s="2"/>
    </row>
    <row r="98">
      <c r="A98" s="2"/>
      <c r="B98" s="2"/>
      <c r="C98" s="2"/>
      <c r="D98" s="2"/>
      <c r="E98" s="2"/>
      <c r="F98" s="23"/>
      <c r="G98" s="2"/>
      <c r="H98" s="2"/>
      <c r="I98" s="2"/>
      <c r="J98" s="2"/>
      <c r="K98" s="2"/>
      <c r="L98" s="2"/>
      <c r="M98" s="2"/>
      <c r="N98" s="2"/>
      <c r="O98" s="2"/>
      <c r="P98" s="2"/>
      <c r="Q98" s="2"/>
      <c r="R98" s="2"/>
      <c r="S98" s="2"/>
      <c r="T98" s="2"/>
      <c r="U98" s="2"/>
      <c r="V98" s="2"/>
      <c r="W98" s="2"/>
      <c r="X98" s="2"/>
      <c r="Y98" s="2"/>
      <c r="Z98" s="2"/>
    </row>
    <row r="99">
      <c r="A99" s="2"/>
      <c r="B99" s="2"/>
      <c r="C99" s="2"/>
      <c r="D99" s="2"/>
      <c r="E99" s="2"/>
      <c r="F99" s="23"/>
      <c r="G99" s="2"/>
      <c r="H99" s="2"/>
      <c r="I99" s="2"/>
      <c r="J99" s="2"/>
      <c r="K99" s="2"/>
      <c r="L99" s="2"/>
      <c r="M99" s="2"/>
      <c r="N99" s="2"/>
      <c r="O99" s="2"/>
      <c r="P99" s="2"/>
      <c r="Q99" s="2"/>
      <c r="R99" s="2"/>
      <c r="S99" s="2"/>
      <c r="T99" s="2"/>
      <c r="U99" s="2"/>
      <c r="V99" s="2"/>
      <c r="W99" s="2"/>
      <c r="X99" s="2"/>
      <c r="Y99" s="2"/>
      <c r="Z99" s="2"/>
    </row>
    <row r="100">
      <c r="A100" s="2"/>
      <c r="B100" s="2"/>
      <c r="C100" s="2"/>
      <c r="D100" s="2"/>
      <c r="E100" s="2"/>
      <c r="F100" s="23"/>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3"/>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3"/>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3"/>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3"/>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3"/>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3"/>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3"/>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3"/>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3"/>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3"/>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3"/>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3"/>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3"/>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3"/>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3"/>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3"/>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3"/>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3"/>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3"/>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3"/>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3"/>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3"/>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3"/>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3"/>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3"/>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3"/>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3"/>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3"/>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3"/>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3"/>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3"/>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3"/>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3"/>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3"/>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3"/>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3"/>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3"/>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3"/>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3"/>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3"/>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3"/>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3"/>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3"/>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3"/>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3"/>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3"/>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3"/>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3"/>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3"/>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3"/>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3"/>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3"/>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3"/>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3"/>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3"/>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3"/>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3"/>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3"/>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3"/>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3"/>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3"/>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3"/>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3"/>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3"/>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3"/>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3"/>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3"/>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3"/>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3"/>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3"/>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3"/>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3"/>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3"/>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3"/>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3"/>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3"/>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3"/>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3"/>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3"/>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3"/>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3"/>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3"/>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3"/>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3"/>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3"/>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3"/>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3"/>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3"/>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3"/>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3"/>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3"/>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3"/>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3"/>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3"/>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3"/>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3"/>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3"/>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3"/>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3"/>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3"/>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3"/>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3"/>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3"/>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3"/>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3"/>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3"/>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3"/>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3"/>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3"/>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3"/>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3"/>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3"/>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3"/>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3"/>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3"/>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3"/>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3"/>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3"/>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3"/>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3"/>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63"/>
    <col customWidth="1" min="3" max="3" width="14.25"/>
  </cols>
  <sheetData>
    <row r="1">
      <c r="A1" s="25"/>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row>
    <row r="2">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 r="A3" s="26" t="s">
        <v>30</v>
      </c>
      <c r="B3" s="2"/>
      <c r="C3" s="2"/>
      <c r="D3" s="2"/>
      <c r="E3" s="10"/>
      <c r="F3" s="2"/>
      <c r="G3" s="2"/>
      <c r="H3" s="2"/>
      <c r="I3" s="2"/>
      <c r="J3" s="2"/>
      <c r="K3" s="26" t="s">
        <v>31</v>
      </c>
      <c r="L3" s="2"/>
      <c r="M3" s="2"/>
      <c r="N3" s="2"/>
      <c r="O3" s="2"/>
      <c r="P3" s="2"/>
      <c r="Q3" s="2"/>
      <c r="R3" s="2"/>
      <c r="S3" s="2"/>
      <c r="T3" s="2"/>
      <c r="U3" s="26" t="s">
        <v>32</v>
      </c>
      <c r="V3" s="2"/>
      <c r="W3" s="2"/>
      <c r="X3" s="2"/>
      <c r="Y3" s="2"/>
      <c r="Z3" s="2"/>
      <c r="AA3" s="2"/>
      <c r="AB3" s="2"/>
      <c r="AC3" s="2"/>
      <c r="AD3" s="2"/>
      <c r="AE3" s="2"/>
      <c r="AF3" s="2"/>
      <c r="AG3" s="2"/>
    </row>
    <row r="4">
      <c r="A4" s="27" t="s">
        <v>10</v>
      </c>
      <c r="B4" s="27" t="s">
        <v>1</v>
      </c>
      <c r="C4" s="27" t="s">
        <v>2</v>
      </c>
      <c r="D4" s="27" t="s">
        <v>3</v>
      </c>
      <c r="E4" s="28" t="s">
        <v>4</v>
      </c>
      <c r="F4" s="2"/>
      <c r="G4" s="2"/>
      <c r="H4" s="2"/>
      <c r="I4" s="2"/>
      <c r="J4" s="2"/>
      <c r="K4" s="27" t="s">
        <v>10</v>
      </c>
      <c r="L4" s="27" t="s">
        <v>1</v>
      </c>
      <c r="M4" s="27" t="s">
        <v>2</v>
      </c>
      <c r="N4" s="27" t="s">
        <v>3</v>
      </c>
      <c r="O4" s="27" t="s">
        <v>4</v>
      </c>
      <c r="P4" s="2"/>
      <c r="Q4" s="2"/>
      <c r="R4" s="2"/>
      <c r="S4" s="2"/>
      <c r="T4" s="2"/>
      <c r="U4" s="27" t="s">
        <v>10</v>
      </c>
      <c r="V4" s="27" t="s">
        <v>1</v>
      </c>
      <c r="W4" s="27" t="s">
        <v>2</v>
      </c>
      <c r="X4" s="27" t="s">
        <v>3</v>
      </c>
      <c r="Y4" s="27" t="s">
        <v>4</v>
      </c>
      <c r="Z4" s="2"/>
      <c r="AA4" s="2"/>
      <c r="AB4" s="2"/>
      <c r="AC4" s="2"/>
      <c r="AD4" s="2"/>
      <c r="AE4" s="2"/>
      <c r="AF4" s="2"/>
      <c r="AG4" s="2"/>
    </row>
    <row r="5">
      <c r="A5" s="29" t="s">
        <v>15</v>
      </c>
      <c r="B5" s="30">
        <v>2842.0</v>
      </c>
      <c r="C5" s="30">
        <v>3593.0</v>
      </c>
      <c r="D5" s="30">
        <v>1.8866045E7</v>
      </c>
      <c r="E5" s="31">
        <v>9389215.0</v>
      </c>
      <c r="F5" s="2"/>
      <c r="G5" s="2"/>
      <c r="H5" s="2"/>
      <c r="I5" s="2"/>
      <c r="J5" s="2"/>
      <c r="K5" s="32"/>
      <c r="L5" s="33"/>
      <c r="M5" s="33"/>
      <c r="N5" s="30">
        <v>0.0</v>
      </c>
      <c r="O5" s="30">
        <v>0.0</v>
      </c>
      <c r="P5" s="2"/>
      <c r="Q5" s="2"/>
      <c r="R5" s="2"/>
      <c r="S5" s="2"/>
      <c r="T5" s="2"/>
      <c r="U5" s="32"/>
      <c r="V5" s="33"/>
      <c r="W5" s="33"/>
      <c r="X5" s="30">
        <v>0.0</v>
      </c>
      <c r="Y5" s="30">
        <v>0.0</v>
      </c>
      <c r="Z5" s="2"/>
      <c r="AA5" s="2"/>
      <c r="AB5" s="2"/>
      <c r="AC5" s="2"/>
      <c r="AD5" s="2"/>
      <c r="AE5" s="2"/>
      <c r="AF5" s="2"/>
      <c r="AG5" s="2"/>
    </row>
    <row r="6">
      <c r="A6" s="29" t="s">
        <v>16</v>
      </c>
      <c r="B6" s="30">
        <v>529.0</v>
      </c>
      <c r="C6" s="30">
        <v>818.0</v>
      </c>
      <c r="D6" s="30">
        <v>4377010.0</v>
      </c>
      <c r="E6" s="31">
        <v>2173325.0</v>
      </c>
      <c r="F6" s="2"/>
      <c r="G6" s="2"/>
      <c r="H6" s="2"/>
      <c r="I6" s="2"/>
      <c r="J6" s="2"/>
      <c r="K6" s="29" t="s">
        <v>16</v>
      </c>
      <c r="L6" s="30">
        <v>6161.0</v>
      </c>
      <c r="M6" s="30">
        <v>7980.0</v>
      </c>
      <c r="N6" s="30">
        <v>5.0815985E7</v>
      </c>
      <c r="O6" s="30">
        <v>2.616405E7</v>
      </c>
      <c r="P6" s="2"/>
      <c r="Q6" s="2"/>
      <c r="R6" s="2"/>
      <c r="S6" s="2"/>
      <c r="T6" s="2"/>
      <c r="U6" s="32"/>
      <c r="V6" s="33"/>
      <c r="W6" s="33"/>
      <c r="X6" s="30">
        <v>0.0</v>
      </c>
      <c r="Y6" s="30">
        <v>0.0</v>
      </c>
      <c r="Z6" s="2"/>
      <c r="AA6" s="2"/>
      <c r="AB6" s="2"/>
      <c r="AC6" s="2"/>
      <c r="AD6" s="2"/>
      <c r="AE6" s="2"/>
      <c r="AF6" s="2"/>
      <c r="AG6" s="2"/>
    </row>
    <row r="7">
      <c r="A7" s="29" t="s">
        <v>17</v>
      </c>
      <c r="B7" s="30">
        <v>237.0</v>
      </c>
      <c r="C7" s="30">
        <v>325.0</v>
      </c>
      <c r="D7" s="30">
        <v>1908940.0</v>
      </c>
      <c r="E7" s="31">
        <v>942755.0</v>
      </c>
      <c r="F7" s="2"/>
      <c r="G7" s="2"/>
      <c r="H7" s="2"/>
      <c r="I7" s="2"/>
      <c r="J7" s="2"/>
      <c r="K7" s="29" t="s">
        <v>17</v>
      </c>
      <c r="L7" s="30">
        <v>619.0</v>
      </c>
      <c r="M7" s="30">
        <v>939.0</v>
      </c>
      <c r="N7" s="30">
        <v>5396435.0</v>
      </c>
      <c r="O7" s="30">
        <v>2596110.0</v>
      </c>
      <c r="P7" s="2"/>
      <c r="Q7" s="2"/>
      <c r="R7" s="2"/>
      <c r="S7" s="2"/>
      <c r="T7" s="2"/>
      <c r="U7" s="32"/>
      <c r="V7" s="33"/>
      <c r="W7" s="33"/>
      <c r="X7" s="30">
        <v>0.0</v>
      </c>
      <c r="Y7" s="30">
        <v>0.0</v>
      </c>
      <c r="Z7" s="2"/>
      <c r="AA7" s="2"/>
      <c r="AB7" s="2"/>
      <c r="AC7" s="2"/>
      <c r="AD7" s="2"/>
      <c r="AE7" s="2"/>
      <c r="AF7" s="2"/>
      <c r="AG7" s="2"/>
    </row>
    <row r="8">
      <c r="A8" s="29" t="s">
        <v>18</v>
      </c>
      <c r="B8" s="30">
        <v>318.0</v>
      </c>
      <c r="C8" s="30">
        <v>467.0</v>
      </c>
      <c r="D8" s="30">
        <v>2357300.0</v>
      </c>
      <c r="E8" s="31">
        <v>1154450.0</v>
      </c>
      <c r="F8" s="2"/>
      <c r="G8" s="2"/>
      <c r="H8" s="2"/>
      <c r="I8" s="2"/>
      <c r="J8" s="2"/>
      <c r="K8" s="29" t="s">
        <v>18</v>
      </c>
      <c r="L8" s="30">
        <v>546.0</v>
      </c>
      <c r="M8" s="30">
        <v>855.0</v>
      </c>
      <c r="N8" s="30">
        <v>4014505.0</v>
      </c>
      <c r="O8" s="30">
        <v>1990010.0</v>
      </c>
      <c r="P8" s="2"/>
      <c r="Q8" s="2"/>
      <c r="R8" s="2"/>
      <c r="S8" s="2"/>
      <c r="T8" s="2"/>
      <c r="U8" s="32"/>
      <c r="V8" s="33"/>
      <c r="W8" s="33"/>
      <c r="X8" s="30">
        <v>0.0</v>
      </c>
      <c r="Y8" s="30">
        <v>0.0</v>
      </c>
      <c r="Z8" s="2"/>
      <c r="AA8" s="2"/>
      <c r="AB8" s="2"/>
      <c r="AC8" s="2"/>
      <c r="AD8" s="2"/>
      <c r="AE8" s="2"/>
      <c r="AF8" s="2"/>
      <c r="AG8" s="2"/>
    </row>
    <row r="9">
      <c r="A9" s="29" t="s">
        <v>19</v>
      </c>
      <c r="B9" s="30">
        <v>317.0</v>
      </c>
      <c r="C9" s="30">
        <v>468.0</v>
      </c>
      <c r="D9" s="30">
        <v>2213530.0</v>
      </c>
      <c r="E9" s="31">
        <v>1063370.0</v>
      </c>
      <c r="F9" s="2"/>
      <c r="G9" s="2"/>
      <c r="H9" s="2"/>
      <c r="I9" s="2"/>
      <c r="J9" s="2"/>
      <c r="K9" s="29" t="s">
        <v>19</v>
      </c>
      <c r="L9" s="30">
        <v>451.0</v>
      </c>
      <c r="M9" s="30">
        <v>696.0</v>
      </c>
      <c r="N9" s="30">
        <v>3515930.0</v>
      </c>
      <c r="O9" s="30">
        <v>1742015.0</v>
      </c>
      <c r="P9" s="2"/>
      <c r="Q9" s="2"/>
      <c r="R9" s="2"/>
      <c r="S9" s="2"/>
      <c r="T9" s="2"/>
      <c r="U9" s="32"/>
      <c r="V9" s="33"/>
      <c r="W9" s="33"/>
      <c r="X9" s="30">
        <v>0.0</v>
      </c>
      <c r="Y9" s="30">
        <v>0.0</v>
      </c>
      <c r="Z9" s="2"/>
      <c r="AA9" s="2"/>
      <c r="AB9" s="2"/>
      <c r="AC9" s="2"/>
      <c r="AD9" s="2"/>
      <c r="AE9" s="2"/>
      <c r="AF9" s="2"/>
      <c r="AG9" s="2"/>
    </row>
    <row r="10">
      <c r="A10" s="29" t="s">
        <v>20</v>
      </c>
      <c r="B10" s="30">
        <v>366.0</v>
      </c>
      <c r="C10" s="30">
        <v>615.0</v>
      </c>
      <c r="D10" s="30">
        <v>3017685.0</v>
      </c>
      <c r="E10" s="31">
        <v>1435610.0</v>
      </c>
      <c r="F10" s="2"/>
      <c r="G10" s="2"/>
      <c r="H10" s="2"/>
      <c r="I10" s="2"/>
      <c r="J10" s="2"/>
      <c r="K10" s="29" t="s">
        <v>20</v>
      </c>
      <c r="L10" s="30">
        <v>939.0</v>
      </c>
      <c r="M10" s="30">
        <v>1579.0</v>
      </c>
      <c r="N10" s="30">
        <v>8754185.0</v>
      </c>
      <c r="O10" s="30">
        <v>4264700.0</v>
      </c>
      <c r="P10" s="2"/>
      <c r="Q10" s="2"/>
      <c r="R10" s="2"/>
      <c r="S10" s="2"/>
      <c r="T10" s="2"/>
      <c r="U10" s="29" t="s">
        <v>20</v>
      </c>
      <c r="V10" s="30">
        <v>5881.0</v>
      </c>
      <c r="W10" s="30">
        <v>7651.0</v>
      </c>
      <c r="X10" s="30">
        <v>4.608989E7</v>
      </c>
      <c r="Y10" s="30">
        <v>2.257783E7</v>
      </c>
      <c r="Z10" s="2"/>
      <c r="AA10" s="2"/>
      <c r="AB10" s="2"/>
      <c r="AC10" s="2"/>
      <c r="AD10" s="2"/>
      <c r="AE10" s="2"/>
      <c r="AF10" s="2"/>
      <c r="AG10" s="2"/>
    </row>
    <row r="11">
      <c r="A11" s="29" t="s">
        <v>21</v>
      </c>
      <c r="B11" s="30">
        <v>234.0</v>
      </c>
      <c r="C11" s="30">
        <v>339.0</v>
      </c>
      <c r="D11" s="30">
        <v>1575365.0</v>
      </c>
      <c r="E11" s="31">
        <v>740795.0</v>
      </c>
      <c r="F11" s="2"/>
      <c r="G11" s="2"/>
      <c r="H11" s="2"/>
      <c r="I11" s="2"/>
      <c r="J11" s="2"/>
      <c r="K11" s="29" t="s">
        <v>21</v>
      </c>
      <c r="L11" s="30">
        <v>418.0</v>
      </c>
      <c r="M11" s="30">
        <v>687.0</v>
      </c>
      <c r="N11" s="30">
        <v>3430020.0</v>
      </c>
      <c r="O11" s="30">
        <v>1596375.0</v>
      </c>
      <c r="P11" s="2"/>
      <c r="Q11" s="2"/>
      <c r="R11" s="2"/>
      <c r="S11" s="2"/>
      <c r="T11" s="2"/>
      <c r="U11" s="29" t="s">
        <v>21</v>
      </c>
      <c r="V11" s="30">
        <v>690.0</v>
      </c>
      <c r="W11" s="30">
        <v>1011.0</v>
      </c>
      <c r="X11" s="30">
        <v>5531845.0</v>
      </c>
      <c r="Y11" s="30">
        <v>2540340.0</v>
      </c>
      <c r="Z11" s="2"/>
      <c r="AA11" s="2"/>
      <c r="AB11" s="2"/>
      <c r="AC11" s="2"/>
      <c r="AD11" s="2"/>
      <c r="AE11" s="2"/>
      <c r="AF11" s="2"/>
      <c r="AG11" s="2"/>
    </row>
    <row r="12">
      <c r="A12" s="29" t="s">
        <v>22</v>
      </c>
      <c r="B12" s="30">
        <v>254.0</v>
      </c>
      <c r="C12" s="30">
        <v>408.0</v>
      </c>
      <c r="D12" s="30">
        <v>1804770.0</v>
      </c>
      <c r="E12" s="31">
        <v>868560.0</v>
      </c>
      <c r="F12" s="2"/>
      <c r="G12" s="2"/>
      <c r="H12" s="2"/>
      <c r="I12" s="2"/>
      <c r="J12" s="2"/>
      <c r="K12" s="29" t="s">
        <v>22</v>
      </c>
      <c r="L12" s="30">
        <v>442.0</v>
      </c>
      <c r="M12" s="30">
        <v>738.0</v>
      </c>
      <c r="N12" s="30">
        <v>3375460.0</v>
      </c>
      <c r="O12" s="30">
        <v>1614635.0</v>
      </c>
      <c r="P12" s="2"/>
      <c r="Q12" s="2"/>
      <c r="R12" s="2"/>
      <c r="S12" s="2"/>
      <c r="T12" s="2"/>
      <c r="U12" s="29" t="s">
        <v>22</v>
      </c>
      <c r="V12" s="30">
        <v>473.0</v>
      </c>
      <c r="W12" s="30">
        <v>675.0</v>
      </c>
      <c r="X12" s="30">
        <v>3571370.0</v>
      </c>
      <c r="Y12" s="30">
        <v>1677170.0</v>
      </c>
      <c r="Z12" s="2"/>
      <c r="AA12" s="2"/>
      <c r="AB12" s="2"/>
      <c r="AC12" s="2"/>
      <c r="AD12" s="2"/>
      <c r="AE12" s="2"/>
      <c r="AF12" s="2"/>
      <c r="AG12" s="2"/>
    </row>
    <row r="13">
      <c r="A13" s="29" t="s">
        <v>23</v>
      </c>
      <c r="B13" s="30">
        <v>269.0</v>
      </c>
      <c r="C13" s="30">
        <v>385.0</v>
      </c>
      <c r="D13" s="30">
        <v>1582735.0</v>
      </c>
      <c r="E13" s="31">
        <v>742940.0</v>
      </c>
      <c r="F13" s="2"/>
      <c r="G13" s="2"/>
      <c r="H13" s="2"/>
      <c r="I13" s="2"/>
      <c r="J13" s="2"/>
      <c r="K13" s="29" t="s">
        <v>23</v>
      </c>
      <c r="L13" s="30">
        <v>430.0</v>
      </c>
      <c r="M13" s="30">
        <v>731.0</v>
      </c>
      <c r="N13" s="30">
        <v>3476385.0</v>
      </c>
      <c r="O13" s="30">
        <v>1640210.0</v>
      </c>
      <c r="P13" s="2"/>
      <c r="Q13" s="2"/>
      <c r="R13" s="2"/>
      <c r="S13" s="2"/>
      <c r="T13" s="2"/>
      <c r="U13" s="29" t="s">
        <v>23</v>
      </c>
      <c r="V13" s="30">
        <v>420.0</v>
      </c>
      <c r="W13" s="30">
        <v>601.0</v>
      </c>
      <c r="X13" s="30">
        <v>2838000.0</v>
      </c>
      <c r="Y13" s="30">
        <v>1371040.0</v>
      </c>
      <c r="Z13" s="2"/>
      <c r="AA13" s="2"/>
      <c r="AB13" s="2"/>
      <c r="AC13" s="2"/>
      <c r="AD13" s="2"/>
      <c r="AE13" s="2"/>
      <c r="AF13" s="2"/>
      <c r="AG13" s="2"/>
    </row>
    <row r="14">
      <c r="A14" s="29" t="s">
        <v>24</v>
      </c>
      <c r="B14" s="30">
        <v>358.0</v>
      </c>
      <c r="C14" s="30">
        <v>625.0</v>
      </c>
      <c r="D14" s="30">
        <v>3222065.0</v>
      </c>
      <c r="E14" s="31">
        <v>1519155.0</v>
      </c>
      <c r="F14" s="2"/>
      <c r="G14" s="2"/>
      <c r="H14" s="2"/>
      <c r="I14" s="2"/>
      <c r="J14" s="2"/>
      <c r="K14" s="29" t="s">
        <v>24</v>
      </c>
      <c r="L14" s="30">
        <v>885.0</v>
      </c>
      <c r="M14" s="30">
        <v>1542.0</v>
      </c>
      <c r="N14" s="30">
        <v>8510590.0</v>
      </c>
      <c r="O14" s="30">
        <v>4095850.0</v>
      </c>
      <c r="P14" s="2"/>
      <c r="Q14" s="2"/>
      <c r="R14" s="2"/>
      <c r="S14" s="2"/>
      <c r="T14" s="2"/>
      <c r="U14" s="29" t="s">
        <v>24</v>
      </c>
      <c r="V14" s="30">
        <v>999.0</v>
      </c>
      <c r="W14" s="30">
        <v>1660.0</v>
      </c>
      <c r="X14" s="30">
        <v>8927160.0</v>
      </c>
      <c r="Y14" s="30">
        <v>4306665.0</v>
      </c>
      <c r="Z14" s="2"/>
      <c r="AA14" s="2"/>
      <c r="AB14" s="2"/>
      <c r="AC14" s="2"/>
      <c r="AD14" s="2"/>
      <c r="AE14" s="2"/>
      <c r="AF14" s="2"/>
      <c r="AG14" s="2"/>
    </row>
    <row r="15">
      <c r="A15" s="29" t="s">
        <v>25</v>
      </c>
      <c r="B15" s="30">
        <v>220.0</v>
      </c>
      <c r="C15" s="30">
        <v>323.0</v>
      </c>
      <c r="D15" s="30">
        <v>1638945.0</v>
      </c>
      <c r="E15" s="31">
        <v>766755.0</v>
      </c>
      <c r="F15" s="2"/>
      <c r="G15" s="2"/>
      <c r="H15" s="2"/>
      <c r="I15" s="2"/>
      <c r="J15" s="2"/>
      <c r="K15" s="29" t="s">
        <v>25</v>
      </c>
      <c r="L15" s="30">
        <v>381.0</v>
      </c>
      <c r="M15" s="30">
        <v>625.0</v>
      </c>
      <c r="N15" s="30">
        <v>3439535.0</v>
      </c>
      <c r="O15" s="30">
        <v>1651705.0</v>
      </c>
      <c r="P15" s="2"/>
      <c r="Q15" s="2"/>
      <c r="R15" s="2"/>
      <c r="S15" s="2"/>
      <c r="T15" s="2"/>
      <c r="U15" s="29" t="s">
        <v>25</v>
      </c>
      <c r="V15" s="30">
        <v>387.0</v>
      </c>
      <c r="W15" s="30">
        <v>562.0</v>
      </c>
      <c r="X15" s="30">
        <v>3135275.0</v>
      </c>
      <c r="Y15" s="30">
        <v>1509805.0</v>
      </c>
      <c r="Z15" s="2"/>
      <c r="AA15" s="2"/>
      <c r="AB15" s="2"/>
      <c r="AC15" s="2"/>
      <c r="AD15" s="2"/>
      <c r="AE15" s="2"/>
      <c r="AF15" s="2"/>
      <c r="AG15" s="2"/>
    </row>
    <row r="16">
      <c r="A16" s="29" t="s">
        <v>26</v>
      </c>
      <c r="B16" s="30">
        <v>224.0</v>
      </c>
      <c r="C16" s="30">
        <v>338.0</v>
      </c>
      <c r="D16" s="30">
        <v>1742675.0</v>
      </c>
      <c r="E16" s="31">
        <v>828905.0</v>
      </c>
      <c r="F16" s="2"/>
      <c r="G16" s="2"/>
      <c r="H16" s="2"/>
      <c r="I16" s="2"/>
      <c r="J16" s="2"/>
      <c r="K16" s="29" t="s">
        <v>26</v>
      </c>
      <c r="L16" s="30">
        <v>384.0</v>
      </c>
      <c r="M16" s="30">
        <v>654.0</v>
      </c>
      <c r="N16" s="30">
        <v>3467475.0</v>
      </c>
      <c r="O16" s="30">
        <v>1650495.0</v>
      </c>
      <c r="P16" s="2"/>
      <c r="Q16" s="2"/>
      <c r="R16" s="2"/>
      <c r="S16" s="2"/>
      <c r="T16" s="2"/>
      <c r="U16" s="29" t="s">
        <v>26</v>
      </c>
      <c r="V16" s="30">
        <v>343.0</v>
      </c>
      <c r="W16" s="30">
        <v>522.0</v>
      </c>
      <c r="X16" s="30">
        <v>2546775.0</v>
      </c>
      <c r="Y16" s="30">
        <v>1241075.0</v>
      </c>
      <c r="Z16" s="2"/>
      <c r="AA16" s="2"/>
      <c r="AB16" s="2"/>
      <c r="AC16" s="2"/>
      <c r="AD16" s="2"/>
      <c r="AE16" s="2"/>
      <c r="AF16" s="2"/>
      <c r="AG16" s="2"/>
    </row>
    <row r="17">
      <c r="A17" s="29" t="s">
        <v>27</v>
      </c>
      <c r="B17" s="30">
        <v>230.0</v>
      </c>
      <c r="C17" s="30">
        <v>349.0</v>
      </c>
      <c r="D17" s="30">
        <v>1446720.0</v>
      </c>
      <c r="E17" s="31">
        <v>692780.0</v>
      </c>
      <c r="F17" s="2"/>
      <c r="G17" s="2"/>
      <c r="H17" s="2"/>
      <c r="I17" s="2"/>
      <c r="J17" s="2"/>
      <c r="K17" s="29" t="s">
        <v>27</v>
      </c>
      <c r="L17" s="30">
        <v>351.0</v>
      </c>
      <c r="M17" s="30">
        <v>561.0</v>
      </c>
      <c r="N17" s="30">
        <v>2413840.0</v>
      </c>
      <c r="O17" s="30">
        <v>1158025.0</v>
      </c>
      <c r="P17" s="2"/>
      <c r="Q17" s="2"/>
      <c r="R17" s="2"/>
      <c r="S17" s="2"/>
      <c r="T17" s="2"/>
      <c r="U17" s="29" t="s">
        <v>27</v>
      </c>
      <c r="V17" s="30">
        <v>356.0</v>
      </c>
      <c r="W17" s="30">
        <v>518.0</v>
      </c>
      <c r="X17" s="30">
        <v>2251975.0</v>
      </c>
      <c r="Y17" s="30">
        <v>1074480.0</v>
      </c>
      <c r="Z17" s="2"/>
      <c r="AA17" s="2"/>
      <c r="AB17" s="2"/>
      <c r="AC17" s="2"/>
      <c r="AD17" s="2"/>
      <c r="AE17" s="2"/>
      <c r="AF17" s="2"/>
      <c r="AG17" s="2"/>
    </row>
    <row r="18">
      <c r="A18" s="34" t="s">
        <v>28</v>
      </c>
      <c r="B18" s="35">
        <v>311.0</v>
      </c>
      <c r="C18" s="35">
        <v>523.0</v>
      </c>
      <c r="D18" s="35">
        <v>2693735.0</v>
      </c>
      <c r="E18" s="36">
        <v>1293325.0</v>
      </c>
      <c r="F18" s="2"/>
      <c r="G18" s="2"/>
      <c r="H18" s="2"/>
      <c r="I18" s="2"/>
      <c r="J18" s="2"/>
      <c r="K18" s="34" t="s">
        <v>28</v>
      </c>
      <c r="L18" s="35">
        <v>743.0</v>
      </c>
      <c r="M18" s="35">
        <v>1364.0</v>
      </c>
      <c r="N18" s="35">
        <v>7542645.0</v>
      </c>
      <c r="O18" s="35">
        <v>3669875.0</v>
      </c>
      <c r="P18" s="2"/>
      <c r="Q18" s="2"/>
      <c r="R18" s="2"/>
      <c r="S18" s="2"/>
      <c r="T18" s="2"/>
      <c r="U18" s="34" t="s">
        <v>28</v>
      </c>
      <c r="V18" s="35">
        <v>778.0</v>
      </c>
      <c r="W18" s="35">
        <v>1300.0</v>
      </c>
      <c r="X18" s="35">
        <v>7285410.0</v>
      </c>
      <c r="Y18" s="35">
        <v>3469510.0</v>
      </c>
      <c r="Z18" s="2"/>
      <c r="AA18" s="2"/>
      <c r="AB18" s="2"/>
      <c r="AC18" s="2"/>
      <c r="AD18" s="2"/>
      <c r="AE18" s="2"/>
      <c r="AF18" s="2"/>
      <c r="AG18" s="2"/>
    </row>
    <row r="19">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row>
    <row r="20">
      <c r="A20" s="37"/>
      <c r="B20" s="38"/>
      <c r="C20" s="38"/>
      <c r="D20" s="38"/>
      <c r="E20" s="38"/>
      <c r="F20" s="38"/>
      <c r="G20" s="38"/>
      <c r="H20" s="38"/>
      <c r="I20" s="38"/>
      <c r="J20" s="38"/>
      <c r="K20" s="38"/>
      <c r="L20" s="38"/>
      <c r="M20" s="38"/>
      <c r="N20" s="38"/>
      <c r="O20" s="38"/>
      <c r="P20" s="38"/>
      <c r="Q20" s="38"/>
      <c r="R20" s="38"/>
      <c r="S20" s="38"/>
      <c r="T20" s="38"/>
      <c r="U20" s="38"/>
      <c r="V20" s="38"/>
      <c r="W20" s="38"/>
      <c r="X20" s="38"/>
      <c r="Y20" s="38"/>
      <c r="Z20" s="38"/>
      <c r="AA20" s="38"/>
      <c r="AB20" s="38"/>
      <c r="AC20" s="38"/>
      <c r="AD20" s="38"/>
      <c r="AE20" s="39"/>
      <c r="AF20" s="2"/>
      <c r="AG20" s="2"/>
    </row>
    <row r="21">
      <c r="A21" s="40"/>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41"/>
      <c r="AF21" s="2"/>
      <c r="AG21" s="2"/>
    </row>
    <row r="22">
      <c r="A22" s="42" t="s">
        <v>10</v>
      </c>
      <c r="B22" s="42" t="s">
        <v>1</v>
      </c>
      <c r="C22" s="42" t="s">
        <v>2</v>
      </c>
      <c r="D22" s="42" t="s">
        <v>3</v>
      </c>
      <c r="E22" s="42" t="s">
        <v>4</v>
      </c>
      <c r="F22" s="42" t="s">
        <v>11</v>
      </c>
      <c r="G22" s="42" t="s">
        <v>12</v>
      </c>
      <c r="H22" s="42" t="s">
        <v>7</v>
      </c>
      <c r="I22" s="42" t="s">
        <v>8</v>
      </c>
      <c r="J22" s="2"/>
      <c r="K22" s="42" t="s">
        <v>10</v>
      </c>
      <c r="L22" s="42" t="s">
        <v>1</v>
      </c>
      <c r="M22" s="42" t="s">
        <v>2</v>
      </c>
      <c r="N22" s="42" t="s">
        <v>3</v>
      </c>
      <c r="O22" s="42" t="s">
        <v>4</v>
      </c>
      <c r="P22" s="42" t="s">
        <v>11</v>
      </c>
      <c r="Q22" s="42" t="s">
        <v>12</v>
      </c>
      <c r="R22" s="42" t="s">
        <v>7</v>
      </c>
      <c r="S22" s="42" t="s">
        <v>8</v>
      </c>
      <c r="T22" s="2"/>
      <c r="U22" s="42" t="s">
        <v>10</v>
      </c>
      <c r="V22" s="42" t="s">
        <v>1</v>
      </c>
      <c r="W22" s="42" t="s">
        <v>2</v>
      </c>
      <c r="X22" s="42" t="s">
        <v>3</v>
      </c>
      <c r="Y22" s="42" t="s">
        <v>4</v>
      </c>
      <c r="Z22" s="42" t="s">
        <v>11</v>
      </c>
      <c r="AA22" s="42" t="s">
        <v>12</v>
      </c>
      <c r="AB22" s="42" t="s">
        <v>7</v>
      </c>
      <c r="AC22" s="42" t="s">
        <v>8</v>
      </c>
      <c r="AD22" s="2"/>
      <c r="AE22" s="2"/>
      <c r="AF22" s="2"/>
      <c r="AG22" s="2"/>
    </row>
    <row r="23">
      <c r="A23" s="43" t="str">
        <f t="shared" ref="A23:E23" si="1">A5</f>
        <v>2021Q3</v>
      </c>
      <c r="B23" s="44">
        <f t="shared" si="1"/>
        <v>2842</v>
      </c>
      <c r="C23" s="44">
        <f t="shared" si="1"/>
        <v>3593</v>
      </c>
      <c r="D23" s="44">
        <f t="shared" si="1"/>
        <v>18866045</v>
      </c>
      <c r="E23" s="44">
        <f t="shared" si="1"/>
        <v>9389215</v>
      </c>
      <c r="F23" s="45">
        <f t="shared" ref="F23:F36" si="4">B5/$B$5</f>
        <v>1</v>
      </c>
      <c r="G23" s="46">
        <f t="shared" ref="G23:G36" si="5">D5/B5</f>
        <v>6638.298733</v>
      </c>
      <c r="H23" s="47">
        <f t="shared" ref="H23:I23" si="2">C5/B5</f>
        <v>1.264250528</v>
      </c>
      <c r="I23" s="46">
        <f t="shared" si="2"/>
        <v>5250.777901</v>
      </c>
      <c r="J23" s="2"/>
      <c r="K23" s="48"/>
      <c r="L23" s="49"/>
      <c r="M23" s="50"/>
      <c r="N23" s="50"/>
      <c r="O23" s="50"/>
      <c r="P23" s="51"/>
      <c r="Q23" s="52"/>
      <c r="R23" s="52"/>
      <c r="S23" s="52"/>
      <c r="T23" s="2"/>
      <c r="U23" s="48"/>
      <c r="V23" s="49"/>
      <c r="W23" s="50"/>
      <c r="X23" s="50"/>
      <c r="Y23" s="50"/>
      <c r="Z23" s="51"/>
      <c r="AA23" s="52"/>
      <c r="AB23" s="52"/>
      <c r="AC23" s="52"/>
      <c r="AD23" s="2"/>
      <c r="AE23" s="2"/>
      <c r="AF23" s="2"/>
      <c r="AG23" s="2"/>
    </row>
    <row r="24">
      <c r="A24" s="43" t="str">
        <f t="shared" ref="A24:E24" si="3">A6</f>
        <v>2021Q4</v>
      </c>
      <c r="B24" s="44">
        <f t="shared" si="3"/>
        <v>529</v>
      </c>
      <c r="C24" s="44">
        <f t="shared" si="3"/>
        <v>818</v>
      </c>
      <c r="D24" s="44">
        <f t="shared" si="3"/>
        <v>4377010</v>
      </c>
      <c r="E24" s="44">
        <f t="shared" si="3"/>
        <v>2173325</v>
      </c>
      <c r="F24" s="45">
        <f t="shared" si="4"/>
        <v>0.1861365236</v>
      </c>
      <c r="G24" s="46">
        <f t="shared" si="5"/>
        <v>8274.120983</v>
      </c>
      <c r="H24" s="47">
        <f t="shared" ref="H24:I24" si="6">C6/B6</f>
        <v>1.5463138</v>
      </c>
      <c r="I24" s="46">
        <f t="shared" si="6"/>
        <v>5350.867971</v>
      </c>
      <c r="J24" s="2"/>
      <c r="K24" s="43" t="str">
        <f t="shared" ref="K24:O24" si="7">K6</f>
        <v>2021Q4</v>
      </c>
      <c r="L24" s="44">
        <f t="shared" si="7"/>
        <v>6161</v>
      </c>
      <c r="M24" s="44">
        <f t="shared" si="7"/>
        <v>7980</v>
      </c>
      <c r="N24" s="44">
        <f t="shared" si="7"/>
        <v>50815985</v>
      </c>
      <c r="O24" s="44">
        <f t="shared" si="7"/>
        <v>26164050</v>
      </c>
      <c r="P24" s="45">
        <f t="shared" ref="P24:P36" si="12">L6/$L$6</f>
        <v>1</v>
      </c>
      <c r="Q24" s="46">
        <f t="shared" ref="Q24:Q36" si="13">N6/L6</f>
        <v>8248.009252</v>
      </c>
      <c r="R24" s="47">
        <f t="shared" ref="R24:S24" si="8">M6/L6</f>
        <v>1.295244279</v>
      </c>
      <c r="S24" s="46">
        <f t="shared" si="8"/>
        <v>6367.91792</v>
      </c>
      <c r="T24" s="2"/>
      <c r="U24" s="48"/>
      <c r="V24" s="49"/>
      <c r="W24" s="50"/>
      <c r="X24" s="50"/>
      <c r="Y24" s="50"/>
      <c r="Z24" s="51"/>
      <c r="AA24" s="52"/>
      <c r="AB24" s="52"/>
      <c r="AC24" s="52"/>
      <c r="AD24" s="2"/>
      <c r="AE24" s="2"/>
      <c r="AF24" s="2"/>
      <c r="AG24" s="2"/>
    </row>
    <row r="25">
      <c r="A25" s="43" t="str">
        <f t="shared" ref="A25:E25" si="9">A7</f>
        <v>2022Q1</v>
      </c>
      <c r="B25" s="44">
        <f t="shared" si="9"/>
        <v>237</v>
      </c>
      <c r="C25" s="44">
        <f t="shared" si="9"/>
        <v>325</v>
      </c>
      <c r="D25" s="44">
        <f t="shared" si="9"/>
        <v>1908940</v>
      </c>
      <c r="E25" s="44">
        <f t="shared" si="9"/>
        <v>942755</v>
      </c>
      <c r="F25" s="45">
        <f t="shared" si="4"/>
        <v>0.08339197748</v>
      </c>
      <c r="G25" s="46">
        <f t="shared" si="5"/>
        <v>8054.599156</v>
      </c>
      <c r="H25" s="47">
        <f t="shared" ref="H25:I25" si="10">C7/B7</f>
        <v>1.371308017</v>
      </c>
      <c r="I25" s="46">
        <f t="shared" si="10"/>
        <v>5873.661538</v>
      </c>
      <c r="J25" s="2"/>
      <c r="K25" s="43" t="str">
        <f t="shared" ref="K25:O25" si="11">K7</f>
        <v>2022Q1</v>
      </c>
      <c r="L25" s="44">
        <f t="shared" si="11"/>
        <v>619</v>
      </c>
      <c r="M25" s="44">
        <f t="shared" si="11"/>
        <v>939</v>
      </c>
      <c r="N25" s="44">
        <f t="shared" si="11"/>
        <v>5396435</v>
      </c>
      <c r="O25" s="44">
        <f t="shared" si="11"/>
        <v>2596110</v>
      </c>
      <c r="P25" s="45">
        <f t="shared" si="12"/>
        <v>0.1004707028</v>
      </c>
      <c r="Q25" s="46">
        <f t="shared" si="13"/>
        <v>8717.988691</v>
      </c>
      <c r="R25" s="47">
        <f t="shared" ref="R25:S25" si="14">M7/L7</f>
        <v>1.516962843</v>
      </c>
      <c r="S25" s="46">
        <f t="shared" si="14"/>
        <v>5747.00213</v>
      </c>
      <c r="T25" s="2"/>
      <c r="U25" s="48"/>
      <c r="V25" s="49"/>
      <c r="W25" s="50"/>
      <c r="X25" s="50"/>
      <c r="Y25" s="50"/>
      <c r="Z25" s="51"/>
      <c r="AA25" s="52"/>
      <c r="AB25" s="52"/>
      <c r="AC25" s="52"/>
      <c r="AD25" s="2"/>
      <c r="AE25" s="2"/>
      <c r="AF25" s="2"/>
      <c r="AG25" s="2"/>
    </row>
    <row r="26">
      <c r="A26" s="43" t="str">
        <f t="shared" ref="A26:E26" si="15">A8</f>
        <v>2022Q2</v>
      </c>
      <c r="B26" s="44">
        <f t="shared" si="15"/>
        <v>318</v>
      </c>
      <c r="C26" s="44">
        <f t="shared" si="15"/>
        <v>467</v>
      </c>
      <c r="D26" s="44">
        <f t="shared" si="15"/>
        <v>2357300</v>
      </c>
      <c r="E26" s="44">
        <f t="shared" si="15"/>
        <v>1154450</v>
      </c>
      <c r="F26" s="45">
        <f t="shared" si="4"/>
        <v>0.1118930331</v>
      </c>
      <c r="G26" s="46">
        <f t="shared" si="5"/>
        <v>7412.893082</v>
      </c>
      <c r="H26" s="47">
        <f t="shared" ref="H26:I26" si="16">C8/B8</f>
        <v>1.468553459</v>
      </c>
      <c r="I26" s="46">
        <f t="shared" si="16"/>
        <v>5047.751606</v>
      </c>
      <c r="J26" s="2"/>
      <c r="K26" s="43" t="str">
        <f t="shared" ref="K26:O26" si="17">K8</f>
        <v>2022Q2</v>
      </c>
      <c r="L26" s="44">
        <f t="shared" si="17"/>
        <v>546</v>
      </c>
      <c r="M26" s="44">
        <f t="shared" si="17"/>
        <v>855</v>
      </c>
      <c r="N26" s="44">
        <f t="shared" si="17"/>
        <v>4014505</v>
      </c>
      <c r="O26" s="44">
        <f t="shared" si="17"/>
        <v>1990010</v>
      </c>
      <c r="P26" s="45">
        <f t="shared" si="12"/>
        <v>0.08862197695</v>
      </c>
      <c r="Q26" s="46">
        <f t="shared" si="13"/>
        <v>7352.57326</v>
      </c>
      <c r="R26" s="47">
        <f t="shared" ref="R26:S26" si="18">M8/L8</f>
        <v>1.565934066</v>
      </c>
      <c r="S26" s="46">
        <f t="shared" si="18"/>
        <v>4695.327485</v>
      </c>
      <c r="T26" s="2"/>
      <c r="U26" s="48"/>
      <c r="V26" s="49"/>
      <c r="W26" s="50"/>
      <c r="X26" s="50"/>
      <c r="Y26" s="50"/>
      <c r="Z26" s="51"/>
      <c r="AA26" s="52"/>
      <c r="AB26" s="52"/>
      <c r="AC26" s="52"/>
      <c r="AD26" s="2"/>
      <c r="AE26" s="2"/>
      <c r="AF26" s="2"/>
      <c r="AG26" s="2"/>
    </row>
    <row r="27">
      <c r="A27" s="43" t="str">
        <f t="shared" ref="A27:E27" si="19">A9</f>
        <v>2022Q3</v>
      </c>
      <c r="B27" s="44">
        <f t="shared" si="19"/>
        <v>317</v>
      </c>
      <c r="C27" s="44">
        <f t="shared" si="19"/>
        <v>468</v>
      </c>
      <c r="D27" s="44">
        <f t="shared" si="19"/>
        <v>2213530</v>
      </c>
      <c r="E27" s="44">
        <f t="shared" si="19"/>
        <v>1063370</v>
      </c>
      <c r="F27" s="45">
        <f t="shared" si="4"/>
        <v>0.1115411682</v>
      </c>
      <c r="G27" s="46">
        <f t="shared" si="5"/>
        <v>6982.744479</v>
      </c>
      <c r="H27" s="47">
        <f t="shared" ref="H27:I27" si="20">C9/B9</f>
        <v>1.476340694</v>
      </c>
      <c r="I27" s="46">
        <f t="shared" si="20"/>
        <v>4729.764957</v>
      </c>
      <c r="J27" s="2"/>
      <c r="K27" s="43" t="str">
        <f t="shared" ref="K27:O27" si="21">K9</f>
        <v>2022Q3</v>
      </c>
      <c r="L27" s="44">
        <f t="shared" si="21"/>
        <v>451</v>
      </c>
      <c r="M27" s="44">
        <f t="shared" si="21"/>
        <v>696</v>
      </c>
      <c r="N27" s="44">
        <f t="shared" si="21"/>
        <v>3515930</v>
      </c>
      <c r="O27" s="44">
        <f t="shared" si="21"/>
        <v>1742015</v>
      </c>
      <c r="P27" s="45">
        <f t="shared" si="12"/>
        <v>0.07320240221</v>
      </c>
      <c r="Q27" s="46">
        <f t="shared" si="13"/>
        <v>7795.853659</v>
      </c>
      <c r="R27" s="47">
        <f t="shared" ref="R27:S27" si="22">M9/L9</f>
        <v>1.543237251</v>
      </c>
      <c r="S27" s="46">
        <f t="shared" si="22"/>
        <v>5051.623563</v>
      </c>
      <c r="T27" s="2"/>
      <c r="U27" s="48"/>
      <c r="V27" s="49"/>
      <c r="W27" s="50"/>
      <c r="X27" s="50"/>
      <c r="Y27" s="50"/>
      <c r="Z27" s="51"/>
      <c r="AA27" s="52"/>
      <c r="AB27" s="52"/>
      <c r="AC27" s="52"/>
      <c r="AD27" s="2"/>
      <c r="AE27" s="2"/>
      <c r="AF27" s="2"/>
      <c r="AG27" s="2"/>
    </row>
    <row r="28">
      <c r="A28" s="43" t="str">
        <f t="shared" ref="A28:E28" si="23">A10</f>
        <v>2022Q4</v>
      </c>
      <c r="B28" s="44">
        <f t="shared" si="23"/>
        <v>366</v>
      </c>
      <c r="C28" s="44">
        <f t="shared" si="23"/>
        <v>615</v>
      </c>
      <c r="D28" s="44">
        <f t="shared" si="23"/>
        <v>3017685</v>
      </c>
      <c r="E28" s="44">
        <f t="shared" si="23"/>
        <v>1435610</v>
      </c>
      <c r="F28" s="45">
        <f t="shared" si="4"/>
        <v>0.1287825475</v>
      </c>
      <c r="G28" s="46">
        <f t="shared" si="5"/>
        <v>8245.040984</v>
      </c>
      <c r="H28" s="47">
        <f t="shared" ref="H28:I28" si="24">C10/B10</f>
        <v>1.680327869</v>
      </c>
      <c r="I28" s="46">
        <f t="shared" si="24"/>
        <v>4906.804878</v>
      </c>
      <c r="J28" s="2"/>
      <c r="K28" s="43" t="str">
        <f t="shared" ref="K28:O28" si="25">K10</f>
        <v>2022Q4</v>
      </c>
      <c r="L28" s="44">
        <f t="shared" si="25"/>
        <v>939</v>
      </c>
      <c r="M28" s="44">
        <f t="shared" si="25"/>
        <v>1579</v>
      </c>
      <c r="N28" s="44">
        <f t="shared" si="25"/>
        <v>8754185</v>
      </c>
      <c r="O28" s="44">
        <f t="shared" si="25"/>
        <v>4264700</v>
      </c>
      <c r="P28" s="45">
        <f t="shared" si="12"/>
        <v>0.152410323</v>
      </c>
      <c r="Q28" s="46">
        <f t="shared" si="13"/>
        <v>9322.880724</v>
      </c>
      <c r="R28" s="47">
        <f t="shared" ref="R28:S28" si="26">M10/L10</f>
        <v>1.681576145</v>
      </c>
      <c r="S28" s="46">
        <f t="shared" si="26"/>
        <v>5544.132362</v>
      </c>
      <c r="T28" s="2"/>
      <c r="U28" s="43" t="s">
        <v>20</v>
      </c>
      <c r="V28" s="44">
        <f t="shared" ref="V28:Y28" si="27">V10</f>
        <v>5881</v>
      </c>
      <c r="W28" s="44">
        <f t="shared" si="27"/>
        <v>7651</v>
      </c>
      <c r="X28" s="44">
        <f t="shared" si="27"/>
        <v>46089890</v>
      </c>
      <c r="Y28" s="44">
        <f t="shared" si="27"/>
        <v>22577830</v>
      </c>
      <c r="Z28" s="45">
        <f t="shared" ref="Z28:Z36" si="34">V10/$V$10</f>
        <v>1</v>
      </c>
      <c r="AA28" s="46">
        <f t="shared" ref="AA28:AA36" si="35">X10/V10</f>
        <v>7837.083829</v>
      </c>
      <c r="AB28" s="47">
        <f t="shared" ref="AB28:AC28" si="28">W10/V10</f>
        <v>1.300969223</v>
      </c>
      <c r="AC28" s="46">
        <f t="shared" si="28"/>
        <v>6024.034767</v>
      </c>
      <c r="AD28" s="2"/>
      <c r="AE28" s="2"/>
      <c r="AF28" s="2"/>
      <c r="AG28" s="2"/>
    </row>
    <row r="29">
      <c r="A29" s="43" t="str">
        <f t="shared" ref="A29:E29" si="29">A11</f>
        <v>2023Q1</v>
      </c>
      <c r="B29" s="44">
        <f t="shared" si="29"/>
        <v>234</v>
      </c>
      <c r="C29" s="44">
        <f t="shared" si="29"/>
        <v>339</v>
      </c>
      <c r="D29" s="44">
        <f t="shared" si="29"/>
        <v>1575365</v>
      </c>
      <c r="E29" s="44">
        <f t="shared" si="29"/>
        <v>740795</v>
      </c>
      <c r="F29" s="45">
        <f t="shared" si="4"/>
        <v>0.08233638283</v>
      </c>
      <c r="G29" s="46">
        <f t="shared" si="5"/>
        <v>6732.32906</v>
      </c>
      <c r="H29" s="47">
        <f t="shared" ref="H29:I29" si="30">C11/B11</f>
        <v>1.448717949</v>
      </c>
      <c r="I29" s="46">
        <f t="shared" si="30"/>
        <v>4647.094395</v>
      </c>
      <c r="J29" s="2"/>
      <c r="K29" s="43" t="str">
        <f t="shared" ref="K29:O29" si="31">K11</f>
        <v>2023Q1</v>
      </c>
      <c r="L29" s="44">
        <f t="shared" si="31"/>
        <v>418</v>
      </c>
      <c r="M29" s="44">
        <f t="shared" si="31"/>
        <v>687</v>
      </c>
      <c r="N29" s="44">
        <f t="shared" si="31"/>
        <v>3430020</v>
      </c>
      <c r="O29" s="44">
        <f t="shared" si="31"/>
        <v>1596375</v>
      </c>
      <c r="P29" s="45">
        <f t="shared" si="12"/>
        <v>0.06784612888</v>
      </c>
      <c r="Q29" s="46">
        <f t="shared" si="13"/>
        <v>8205.789474</v>
      </c>
      <c r="R29" s="47">
        <f t="shared" ref="R29:S29" si="32">M11/L11</f>
        <v>1.64354067</v>
      </c>
      <c r="S29" s="46">
        <f t="shared" si="32"/>
        <v>4992.751092</v>
      </c>
      <c r="T29" s="2"/>
      <c r="U29" s="43" t="str">
        <f t="shared" ref="U29:Y29" si="33">U11</f>
        <v>2023Q1</v>
      </c>
      <c r="V29" s="44">
        <f t="shared" si="33"/>
        <v>690</v>
      </c>
      <c r="W29" s="44">
        <f t="shared" si="33"/>
        <v>1011</v>
      </c>
      <c r="X29" s="44">
        <f t="shared" si="33"/>
        <v>5531845</v>
      </c>
      <c r="Y29" s="44">
        <f t="shared" si="33"/>
        <v>2540340</v>
      </c>
      <c r="Z29" s="45">
        <f t="shared" si="34"/>
        <v>0.1173269852</v>
      </c>
      <c r="AA29" s="46">
        <f t="shared" si="35"/>
        <v>8017.166667</v>
      </c>
      <c r="AB29" s="47">
        <f t="shared" ref="AB29:AC29" si="36">W11/V11</f>
        <v>1.465217391</v>
      </c>
      <c r="AC29" s="46">
        <f t="shared" si="36"/>
        <v>5471.656775</v>
      </c>
      <c r="AD29" s="2"/>
      <c r="AE29" s="2"/>
      <c r="AF29" s="2"/>
      <c r="AG29" s="2"/>
    </row>
    <row r="30">
      <c r="A30" s="43" t="str">
        <f t="shared" ref="A30:E30" si="37">A12</f>
        <v>2023Q2</v>
      </c>
      <c r="B30" s="44">
        <f t="shared" si="37"/>
        <v>254</v>
      </c>
      <c r="C30" s="44">
        <f t="shared" si="37"/>
        <v>408</v>
      </c>
      <c r="D30" s="44">
        <f t="shared" si="37"/>
        <v>1804770</v>
      </c>
      <c r="E30" s="44">
        <f t="shared" si="37"/>
        <v>868560</v>
      </c>
      <c r="F30" s="45">
        <f t="shared" si="4"/>
        <v>0.08937368051</v>
      </c>
      <c r="G30" s="46">
        <f t="shared" si="5"/>
        <v>7105.393701</v>
      </c>
      <c r="H30" s="47">
        <f t="shared" ref="H30:I30" si="38">C12/B12</f>
        <v>1.606299213</v>
      </c>
      <c r="I30" s="46">
        <f t="shared" si="38"/>
        <v>4423.455882</v>
      </c>
      <c r="J30" s="2"/>
      <c r="K30" s="43" t="str">
        <f t="shared" ref="K30:O30" si="39">K12</f>
        <v>2023Q2</v>
      </c>
      <c r="L30" s="44">
        <f t="shared" si="39"/>
        <v>442</v>
      </c>
      <c r="M30" s="44">
        <f t="shared" si="39"/>
        <v>738</v>
      </c>
      <c r="N30" s="44">
        <f t="shared" si="39"/>
        <v>3375460</v>
      </c>
      <c r="O30" s="44">
        <f t="shared" si="39"/>
        <v>1614635</v>
      </c>
      <c r="P30" s="45">
        <f t="shared" si="12"/>
        <v>0.07174160039</v>
      </c>
      <c r="Q30" s="46">
        <f t="shared" si="13"/>
        <v>7636.78733</v>
      </c>
      <c r="R30" s="47">
        <f t="shared" ref="R30:S30" si="40">M12/L12</f>
        <v>1.669683258</v>
      </c>
      <c r="S30" s="46">
        <f t="shared" si="40"/>
        <v>4573.794038</v>
      </c>
      <c r="T30" s="2"/>
      <c r="U30" s="43" t="str">
        <f t="shared" ref="U30:Y30" si="41">U12</f>
        <v>2023Q2</v>
      </c>
      <c r="V30" s="44">
        <f t="shared" si="41"/>
        <v>473</v>
      </c>
      <c r="W30" s="44">
        <f t="shared" si="41"/>
        <v>675</v>
      </c>
      <c r="X30" s="44">
        <f t="shared" si="41"/>
        <v>3571370</v>
      </c>
      <c r="Y30" s="44">
        <f t="shared" si="41"/>
        <v>1677170</v>
      </c>
      <c r="Z30" s="45">
        <f t="shared" si="34"/>
        <v>0.08042849855</v>
      </c>
      <c r="AA30" s="46">
        <f t="shared" si="35"/>
        <v>7550.465116</v>
      </c>
      <c r="AB30" s="47">
        <f t="shared" ref="AB30:AC30" si="42">W12/V12</f>
        <v>1.427061311</v>
      </c>
      <c r="AC30" s="46">
        <f t="shared" si="42"/>
        <v>5290.918519</v>
      </c>
      <c r="AD30" s="2"/>
      <c r="AE30" s="2"/>
      <c r="AF30" s="2"/>
      <c r="AG30" s="2"/>
    </row>
    <row r="31">
      <c r="A31" s="43" t="str">
        <f t="shared" ref="A31:E31" si="43">A13</f>
        <v>2023Q3</v>
      </c>
      <c r="B31" s="44">
        <f t="shared" si="43"/>
        <v>269</v>
      </c>
      <c r="C31" s="44">
        <f t="shared" si="43"/>
        <v>385</v>
      </c>
      <c r="D31" s="44">
        <f t="shared" si="43"/>
        <v>1582735</v>
      </c>
      <c r="E31" s="44">
        <f t="shared" si="43"/>
        <v>742940</v>
      </c>
      <c r="F31" s="45">
        <f t="shared" si="4"/>
        <v>0.09465165376</v>
      </c>
      <c r="G31" s="46">
        <f t="shared" si="5"/>
        <v>5883.773234</v>
      </c>
      <c r="H31" s="47">
        <f t="shared" ref="H31:I31" si="44">C13/B13</f>
        <v>1.431226766</v>
      </c>
      <c r="I31" s="46">
        <f t="shared" si="44"/>
        <v>4111</v>
      </c>
      <c r="J31" s="2"/>
      <c r="K31" s="43" t="str">
        <f t="shared" ref="K31:O31" si="45">K13</f>
        <v>2023Q3</v>
      </c>
      <c r="L31" s="44">
        <f t="shared" si="45"/>
        <v>430</v>
      </c>
      <c r="M31" s="44">
        <f t="shared" si="45"/>
        <v>731</v>
      </c>
      <c r="N31" s="44">
        <f t="shared" si="45"/>
        <v>3476385</v>
      </c>
      <c r="O31" s="44">
        <f t="shared" si="45"/>
        <v>1640210</v>
      </c>
      <c r="P31" s="45">
        <f t="shared" si="12"/>
        <v>0.06979386463</v>
      </c>
      <c r="Q31" s="46">
        <f t="shared" si="13"/>
        <v>8084.616279</v>
      </c>
      <c r="R31" s="47">
        <f t="shared" ref="R31:S31" si="46">M13/L13</f>
        <v>1.7</v>
      </c>
      <c r="S31" s="46">
        <f t="shared" si="46"/>
        <v>4755.656635</v>
      </c>
      <c r="T31" s="2"/>
      <c r="U31" s="43" t="str">
        <f t="shared" ref="U31:Y31" si="47">U13</f>
        <v>2023Q3</v>
      </c>
      <c r="V31" s="44">
        <f t="shared" si="47"/>
        <v>420</v>
      </c>
      <c r="W31" s="44">
        <f t="shared" si="47"/>
        <v>601</v>
      </c>
      <c r="X31" s="44">
        <f t="shared" si="47"/>
        <v>2838000</v>
      </c>
      <c r="Y31" s="44">
        <f t="shared" si="47"/>
        <v>1371040</v>
      </c>
      <c r="Z31" s="45">
        <f t="shared" si="34"/>
        <v>0.07141642578</v>
      </c>
      <c r="AA31" s="46">
        <f t="shared" si="35"/>
        <v>6757.142857</v>
      </c>
      <c r="AB31" s="47">
        <f t="shared" ref="AB31:AC31" si="48">W13/V13</f>
        <v>1.430952381</v>
      </c>
      <c r="AC31" s="46">
        <f t="shared" si="48"/>
        <v>4722.129784</v>
      </c>
      <c r="AD31" s="2"/>
      <c r="AE31" s="2"/>
      <c r="AF31" s="2"/>
      <c r="AG31" s="2"/>
    </row>
    <row r="32">
      <c r="A32" s="43" t="str">
        <f t="shared" ref="A32:E32" si="49">A14</f>
        <v>2023Q4</v>
      </c>
      <c r="B32" s="44">
        <f t="shared" si="49"/>
        <v>358</v>
      </c>
      <c r="C32" s="44">
        <f t="shared" si="49"/>
        <v>625</v>
      </c>
      <c r="D32" s="44">
        <f t="shared" si="49"/>
        <v>3222065</v>
      </c>
      <c r="E32" s="44">
        <f t="shared" si="49"/>
        <v>1519155</v>
      </c>
      <c r="F32" s="45">
        <f t="shared" si="4"/>
        <v>0.1259676284</v>
      </c>
      <c r="G32" s="46">
        <f t="shared" si="5"/>
        <v>9000.181564</v>
      </c>
      <c r="H32" s="47">
        <f t="shared" ref="H32:I32" si="50">C14/B14</f>
        <v>1.745810056</v>
      </c>
      <c r="I32" s="46">
        <f t="shared" si="50"/>
        <v>5155.304</v>
      </c>
      <c r="J32" s="2"/>
      <c r="K32" s="43" t="str">
        <f t="shared" ref="K32:O32" si="51">K14</f>
        <v>2023Q4</v>
      </c>
      <c r="L32" s="44">
        <f t="shared" si="51"/>
        <v>885</v>
      </c>
      <c r="M32" s="44">
        <f t="shared" si="51"/>
        <v>1542</v>
      </c>
      <c r="N32" s="44">
        <f t="shared" si="51"/>
        <v>8510590</v>
      </c>
      <c r="O32" s="44">
        <f t="shared" si="51"/>
        <v>4095850</v>
      </c>
      <c r="P32" s="45">
        <f t="shared" si="12"/>
        <v>0.1436455121</v>
      </c>
      <c r="Q32" s="46">
        <f t="shared" si="13"/>
        <v>9616.485876</v>
      </c>
      <c r="R32" s="47">
        <f t="shared" ref="R32:S32" si="52">M14/L14</f>
        <v>1.742372881</v>
      </c>
      <c r="S32" s="46">
        <f t="shared" si="52"/>
        <v>5519.189364</v>
      </c>
      <c r="T32" s="2"/>
      <c r="U32" s="43" t="str">
        <f t="shared" ref="U32:Y32" si="53">U14</f>
        <v>2023Q4</v>
      </c>
      <c r="V32" s="44">
        <f t="shared" si="53"/>
        <v>999</v>
      </c>
      <c r="W32" s="44">
        <f t="shared" si="53"/>
        <v>1660</v>
      </c>
      <c r="X32" s="44">
        <f t="shared" si="53"/>
        <v>8927160</v>
      </c>
      <c r="Y32" s="44">
        <f t="shared" si="53"/>
        <v>4306665</v>
      </c>
      <c r="Z32" s="45">
        <f t="shared" si="34"/>
        <v>0.1698690699</v>
      </c>
      <c r="AA32" s="46">
        <f t="shared" si="35"/>
        <v>8936.096096</v>
      </c>
      <c r="AB32" s="47">
        <f t="shared" ref="AB32:AC32" si="54">W14/V14</f>
        <v>1.661661662</v>
      </c>
      <c r="AC32" s="46">
        <f t="shared" si="54"/>
        <v>5377.807229</v>
      </c>
      <c r="AD32" s="2"/>
      <c r="AE32" s="2"/>
      <c r="AF32" s="2"/>
      <c r="AG32" s="2"/>
    </row>
    <row r="33">
      <c r="A33" s="43" t="str">
        <f t="shared" ref="A33:E33" si="55">A15</f>
        <v>2024Q1</v>
      </c>
      <c r="B33" s="44">
        <f t="shared" si="55"/>
        <v>220</v>
      </c>
      <c r="C33" s="44">
        <f t="shared" si="55"/>
        <v>323</v>
      </c>
      <c r="D33" s="44">
        <f t="shared" si="55"/>
        <v>1638945</v>
      </c>
      <c r="E33" s="44">
        <f t="shared" si="55"/>
        <v>766755</v>
      </c>
      <c r="F33" s="45">
        <f t="shared" si="4"/>
        <v>0.07741027445</v>
      </c>
      <c r="G33" s="46">
        <f t="shared" si="5"/>
        <v>7449.75</v>
      </c>
      <c r="H33" s="47">
        <f t="shared" ref="H33:I33" si="56">C15/B15</f>
        <v>1.468181818</v>
      </c>
      <c r="I33" s="46">
        <f t="shared" si="56"/>
        <v>5074.133127</v>
      </c>
      <c r="J33" s="2"/>
      <c r="K33" s="43" t="str">
        <f t="shared" ref="K33:O33" si="57">K15</f>
        <v>2024Q1</v>
      </c>
      <c r="L33" s="44">
        <f t="shared" si="57"/>
        <v>381</v>
      </c>
      <c r="M33" s="44">
        <f t="shared" si="57"/>
        <v>625</v>
      </c>
      <c r="N33" s="44">
        <f t="shared" si="57"/>
        <v>3439535</v>
      </c>
      <c r="O33" s="44">
        <f t="shared" si="57"/>
        <v>1651705</v>
      </c>
      <c r="P33" s="45">
        <f t="shared" si="12"/>
        <v>0.06184061029</v>
      </c>
      <c r="Q33" s="46">
        <f t="shared" si="13"/>
        <v>9027.650919</v>
      </c>
      <c r="R33" s="47">
        <f t="shared" ref="R33:S33" si="58">M15/L15</f>
        <v>1.640419948</v>
      </c>
      <c r="S33" s="46">
        <f t="shared" si="58"/>
        <v>5503.256</v>
      </c>
      <c r="T33" s="2"/>
      <c r="U33" s="43" t="str">
        <f t="shared" ref="U33:Y33" si="59">U15</f>
        <v>2024Q1</v>
      </c>
      <c r="V33" s="44">
        <f t="shared" si="59"/>
        <v>387</v>
      </c>
      <c r="W33" s="44">
        <f t="shared" si="59"/>
        <v>562</v>
      </c>
      <c r="X33" s="44">
        <f t="shared" si="59"/>
        <v>3135275</v>
      </c>
      <c r="Y33" s="44">
        <f t="shared" si="59"/>
        <v>1509805</v>
      </c>
      <c r="Z33" s="45">
        <f t="shared" si="34"/>
        <v>0.06580513518</v>
      </c>
      <c r="AA33" s="46">
        <f t="shared" si="35"/>
        <v>8101.485788</v>
      </c>
      <c r="AB33" s="47">
        <f t="shared" ref="AB33:AC33" si="60">W15/V15</f>
        <v>1.452196382</v>
      </c>
      <c r="AC33" s="46">
        <f t="shared" si="60"/>
        <v>5578.781139</v>
      </c>
      <c r="AD33" s="2"/>
      <c r="AE33" s="2"/>
      <c r="AF33" s="2"/>
      <c r="AG33" s="2"/>
    </row>
    <row r="34">
      <c r="A34" s="43" t="str">
        <f t="shared" ref="A34:E34" si="61">A16</f>
        <v>2024Q2</v>
      </c>
      <c r="B34" s="44">
        <f t="shared" si="61"/>
        <v>224</v>
      </c>
      <c r="C34" s="44">
        <f t="shared" si="61"/>
        <v>338</v>
      </c>
      <c r="D34" s="44">
        <f t="shared" si="61"/>
        <v>1742675</v>
      </c>
      <c r="E34" s="44">
        <f t="shared" si="61"/>
        <v>828905</v>
      </c>
      <c r="F34" s="45">
        <f t="shared" si="4"/>
        <v>0.07881773399</v>
      </c>
      <c r="G34" s="46">
        <f t="shared" si="5"/>
        <v>7779.799107</v>
      </c>
      <c r="H34" s="47">
        <f t="shared" ref="H34:I34" si="62">C16/B16</f>
        <v>1.508928571</v>
      </c>
      <c r="I34" s="46">
        <f t="shared" si="62"/>
        <v>5155.843195</v>
      </c>
      <c r="J34" s="2"/>
      <c r="K34" s="43" t="str">
        <f t="shared" ref="K34:O34" si="63">K16</f>
        <v>2024Q2</v>
      </c>
      <c r="L34" s="44">
        <f t="shared" si="63"/>
        <v>384</v>
      </c>
      <c r="M34" s="44">
        <f t="shared" si="63"/>
        <v>654</v>
      </c>
      <c r="N34" s="44">
        <f t="shared" si="63"/>
        <v>3467475</v>
      </c>
      <c r="O34" s="44">
        <f t="shared" si="63"/>
        <v>1650495</v>
      </c>
      <c r="P34" s="45">
        <f t="shared" si="12"/>
        <v>0.06232754423</v>
      </c>
      <c r="Q34" s="46">
        <f t="shared" si="13"/>
        <v>9029.882813</v>
      </c>
      <c r="R34" s="47">
        <f t="shared" ref="R34:S34" si="64">M16/L16</f>
        <v>1.703125</v>
      </c>
      <c r="S34" s="46">
        <f t="shared" si="64"/>
        <v>5301.949541</v>
      </c>
      <c r="T34" s="2"/>
      <c r="U34" s="43" t="str">
        <f t="shared" ref="U34:Y34" si="65">U16</f>
        <v>2024Q2</v>
      </c>
      <c r="V34" s="44">
        <f t="shared" si="65"/>
        <v>343</v>
      </c>
      <c r="W34" s="44">
        <f t="shared" si="65"/>
        <v>522</v>
      </c>
      <c r="X34" s="44">
        <f t="shared" si="65"/>
        <v>2546775</v>
      </c>
      <c r="Y34" s="44">
        <f t="shared" si="65"/>
        <v>1241075</v>
      </c>
      <c r="Z34" s="45">
        <f t="shared" si="34"/>
        <v>0.05832341439</v>
      </c>
      <c r="AA34" s="46">
        <f t="shared" si="35"/>
        <v>7425</v>
      </c>
      <c r="AB34" s="47">
        <f t="shared" ref="AB34:AC34" si="66">W16/V16</f>
        <v>1.521865889</v>
      </c>
      <c r="AC34" s="46">
        <f t="shared" si="66"/>
        <v>4878.87931</v>
      </c>
      <c r="AD34" s="2"/>
      <c r="AE34" s="2"/>
      <c r="AF34" s="2"/>
      <c r="AG34" s="2"/>
    </row>
    <row r="35">
      <c r="A35" s="53" t="s">
        <v>27</v>
      </c>
      <c r="B35" s="44">
        <f t="shared" ref="B35:E35" si="67">B17</f>
        <v>230</v>
      </c>
      <c r="C35" s="44">
        <f t="shared" si="67"/>
        <v>349</v>
      </c>
      <c r="D35" s="44">
        <f t="shared" si="67"/>
        <v>1446720</v>
      </c>
      <c r="E35" s="44">
        <f t="shared" si="67"/>
        <v>692780</v>
      </c>
      <c r="F35" s="45">
        <f t="shared" si="4"/>
        <v>0.08092892329</v>
      </c>
      <c r="G35" s="46">
        <f t="shared" si="5"/>
        <v>6290.086957</v>
      </c>
      <c r="H35" s="47">
        <f t="shared" ref="H35:I35" si="68">C17/B17</f>
        <v>1.517391304</v>
      </c>
      <c r="I35" s="46">
        <f t="shared" si="68"/>
        <v>4145.329513</v>
      </c>
      <c r="J35" s="2"/>
      <c r="K35" s="43" t="str">
        <f t="shared" ref="K35:O35" si="69">K17</f>
        <v>2024Q3</v>
      </c>
      <c r="L35" s="44">
        <f t="shared" si="69"/>
        <v>351</v>
      </c>
      <c r="M35" s="44">
        <f t="shared" si="69"/>
        <v>561</v>
      </c>
      <c r="N35" s="44">
        <f t="shared" si="69"/>
        <v>2413840</v>
      </c>
      <c r="O35" s="44">
        <f t="shared" si="69"/>
        <v>1158025</v>
      </c>
      <c r="P35" s="45">
        <f t="shared" si="12"/>
        <v>0.0569712709</v>
      </c>
      <c r="Q35" s="46">
        <f t="shared" si="13"/>
        <v>6877.037037</v>
      </c>
      <c r="R35" s="47">
        <f t="shared" ref="R35:S35" si="70">M17/L17</f>
        <v>1.598290598</v>
      </c>
      <c r="S35" s="46">
        <f t="shared" si="70"/>
        <v>4302.745098</v>
      </c>
      <c r="T35" s="2"/>
      <c r="U35" s="43" t="str">
        <f t="shared" ref="U35:Y35" si="71">U17</f>
        <v>2024Q3</v>
      </c>
      <c r="V35" s="44">
        <f t="shared" si="71"/>
        <v>356</v>
      </c>
      <c r="W35" s="44">
        <f t="shared" si="71"/>
        <v>518</v>
      </c>
      <c r="X35" s="44">
        <f t="shared" si="71"/>
        <v>2251975</v>
      </c>
      <c r="Y35" s="44">
        <f t="shared" si="71"/>
        <v>1074480</v>
      </c>
      <c r="Z35" s="45">
        <f t="shared" si="34"/>
        <v>0.0605339228</v>
      </c>
      <c r="AA35" s="46">
        <f t="shared" si="35"/>
        <v>6325.772472</v>
      </c>
      <c r="AB35" s="47">
        <f t="shared" ref="AB35:AC35" si="72">W17/V17</f>
        <v>1.45505618</v>
      </c>
      <c r="AC35" s="46">
        <f t="shared" si="72"/>
        <v>4347.442085</v>
      </c>
      <c r="AD35" s="2"/>
      <c r="AE35" s="2"/>
      <c r="AF35" s="2"/>
      <c r="AG35" s="2"/>
    </row>
    <row r="36">
      <c r="A36" s="43" t="str">
        <f t="shared" ref="A36:E36" si="73">A18</f>
        <v>2024Q4</v>
      </c>
      <c r="B36" s="44">
        <f t="shared" si="73"/>
        <v>311</v>
      </c>
      <c r="C36" s="44">
        <f t="shared" si="73"/>
        <v>523</v>
      </c>
      <c r="D36" s="44">
        <f t="shared" si="73"/>
        <v>2693735</v>
      </c>
      <c r="E36" s="44">
        <f t="shared" si="73"/>
        <v>1293325</v>
      </c>
      <c r="F36" s="45">
        <f t="shared" si="4"/>
        <v>0.1094299789</v>
      </c>
      <c r="G36" s="46">
        <f t="shared" si="5"/>
        <v>8661.527331</v>
      </c>
      <c r="H36" s="47">
        <f t="shared" ref="H36:I36" si="74">C18/B18</f>
        <v>1.681672026</v>
      </c>
      <c r="I36" s="46">
        <f t="shared" si="74"/>
        <v>5150.544933</v>
      </c>
      <c r="J36" s="2"/>
      <c r="K36" s="43" t="str">
        <f t="shared" ref="K36:O36" si="75">K18</f>
        <v>2024Q4</v>
      </c>
      <c r="L36" s="44">
        <f t="shared" si="75"/>
        <v>743</v>
      </c>
      <c r="M36" s="44">
        <f t="shared" si="75"/>
        <v>1364</v>
      </c>
      <c r="N36" s="44">
        <f t="shared" si="75"/>
        <v>7542645</v>
      </c>
      <c r="O36" s="44">
        <f t="shared" si="75"/>
        <v>3669875</v>
      </c>
      <c r="P36" s="45">
        <f t="shared" si="12"/>
        <v>0.1205973056</v>
      </c>
      <c r="Q36" s="46">
        <f t="shared" si="13"/>
        <v>10151.60834</v>
      </c>
      <c r="R36" s="47">
        <f t="shared" ref="R36:S36" si="76">M18/L18</f>
        <v>1.835800808</v>
      </c>
      <c r="S36" s="46">
        <f t="shared" si="76"/>
        <v>5529.798387</v>
      </c>
      <c r="T36" s="2"/>
      <c r="U36" s="43" t="str">
        <f t="shared" ref="U36:Y36" si="77">U18</f>
        <v>2024Q4</v>
      </c>
      <c r="V36" s="44">
        <f t="shared" si="77"/>
        <v>778</v>
      </c>
      <c r="W36" s="44">
        <f t="shared" si="77"/>
        <v>1300</v>
      </c>
      <c r="X36" s="44">
        <f t="shared" si="77"/>
        <v>7285410</v>
      </c>
      <c r="Y36" s="44">
        <f t="shared" si="77"/>
        <v>3469510</v>
      </c>
      <c r="Z36" s="45">
        <f t="shared" si="34"/>
        <v>0.1322904268</v>
      </c>
      <c r="AA36" s="46">
        <f t="shared" si="35"/>
        <v>9364.280206</v>
      </c>
      <c r="AB36" s="47">
        <f t="shared" ref="AB36:AC36" si="78">W18/V18</f>
        <v>1.670951157</v>
      </c>
      <c r="AC36" s="46">
        <f t="shared" si="78"/>
        <v>5604.161538</v>
      </c>
      <c r="AD36" s="2"/>
      <c r="AE36" s="2"/>
      <c r="AF36" s="2"/>
      <c r="AG36" s="2"/>
    </row>
    <row r="37">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row>
    <row r="38">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row>
    <row r="39">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row>
    <row r="40">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row>
    <row r="41">
      <c r="A41" s="54" t="str">
        <f t="shared" ref="A41:A55" si="79">A22</f>
        <v>Quarter</v>
      </c>
      <c r="B41" s="43" t="s">
        <v>30</v>
      </c>
      <c r="C41" s="43" t="s">
        <v>31</v>
      </c>
      <c r="D41" s="43" t="s">
        <v>32</v>
      </c>
      <c r="E41" s="43" t="s">
        <v>30</v>
      </c>
      <c r="F41" s="43" t="s">
        <v>31</v>
      </c>
      <c r="G41" s="43" t="s">
        <v>32</v>
      </c>
      <c r="H41" s="43" t="s">
        <v>30</v>
      </c>
      <c r="I41" s="43" t="s">
        <v>31</v>
      </c>
      <c r="J41" s="43" t="s">
        <v>32</v>
      </c>
      <c r="K41" s="2"/>
      <c r="L41" s="2"/>
      <c r="M41" s="2"/>
      <c r="N41" s="2"/>
      <c r="O41" s="2"/>
      <c r="P41" s="2"/>
      <c r="Q41" s="2"/>
      <c r="R41" s="2"/>
      <c r="S41" s="2"/>
      <c r="T41" s="2"/>
      <c r="U41" s="2"/>
      <c r="V41" s="2"/>
      <c r="W41" s="2"/>
      <c r="X41" s="2"/>
      <c r="Y41" s="2"/>
      <c r="Z41" s="2"/>
      <c r="AA41" s="2"/>
      <c r="AB41" s="2"/>
      <c r="AC41" s="2"/>
      <c r="AD41" s="2"/>
      <c r="AE41" s="2"/>
      <c r="AF41" s="2"/>
      <c r="AG41" s="2"/>
    </row>
    <row r="42">
      <c r="A42" s="54" t="str">
        <f t="shared" si="79"/>
        <v>2021Q3</v>
      </c>
      <c r="B42" s="45">
        <f t="shared" ref="B42:B55" si="80">F23</f>
        <v>1</v>
      </c>
      <c r="C42" s="51"/>
      <c r="D42" s="51"/>
      <c r="E42" s="46">
        <f t="shared" ref="E42:E55" si="81">G23</f>
        <v>6638.298733</v>
      </c>
      <c r="F42" s="55"/>
      <c r="G42" s="55"/>
      <c r="H42" s="46">
        <f t="shared" ref="H42:H55" si="82">I23</f>
        <v>5250.777901</v>
      </c>
      <c r="I42" s="55"/>
      <c r="J42" s="55"/>
      <c r="K42" s="2"/>
      <c r="L42" s="2"/>
      <c r="M42" s="2"/>
      <c r="N42" s="2"/>
      <c r="O42" s="2"/>
      <c r="P42" s="2"/>
      <c r="Q42" s="2"/>
      <c r="R42" s="2"/>
      <c r="S42" s="2"/>
      <c r="T42" s="2"/>
      <c r="U42" s="2"/>
      <c r="V42" s="2"/>
      <c r="W42" s="2"/>
      <c r="X42" s="2"/>
      <c r="Y42" s="2"/>
      <c r="Z42" s="2"/>
      <c r="AA42" s="2"/>
      <c r="AB42" s="2"/>
      <c r="AC42" s="2"/>
      <c r="AD42" s="2"/>
      <c r="AE42" s="2"/>
      <c r="AF42" s="2"/>
      <c r="AG42" s="2"/>
    </row>
    <row r="43">
      <c r="A43" s="54" t="str">
        <f t="shared" si="79"/>
        <v>2021Q4</v>
      </c>
      <c r="B43" s="45">
        <f t="shared" si="80"/>
        <v>0.1861365236</v>
      </c>
      <c r="C43" s="45">
        <f t="shared" ref="C43:C55" si="83">P24</f>
        <v>1</v>
      </c>
      <c r="D43" s="51"/>
      <c r="E43" s="46">
        <f t="shared" si="81"/>
        <v>8274.120983</v>
      </c>
      <c r="F43" s="46">
        <f t="shared" ref="F43:F55" si="84">Q24</f>
        <v>8248.009252</v>
      </c>
      <c r="G43" s="55"/>
      <c r="H43" s="46">
        <f t="shared" si="82"/>
        <v>5350.867971</v>
      </c>
      <c r="I43" s="46">
        <f t="shared" ref="I43:I55" si="85">S24</f>
        <v>6367.91792</v>
      </c>
      <c r="J43" s="55"/>
      <c r="K43" s="2"/>
      <c r="L43" s="2"/>
      <c r="M43" s="2"/>
      <c r="N43" s="2"/>
      <c r="O43" s="2"/>
      <c r="P43" s="2"/>
      <c r="Q43" s="2"/>
      <c r="R43" s="2"/>
      <c r="S43" s="2"/>
      <c r="T43" s="2"/>
      <c r="U43" s="2"/>
      <c r="V43" s="2"/>
      <c r="W43" s="2"/>
      <c r="X43" s="2"/>
      <c r="Y43" s="2"/>
      <c r="Z43" s="2"/>
      <c r="AA43" s="2"/>
      <c r="AB43" s="2"/>
      <c r="AC43" s="2"/>
      <c r="AD43" s="2"/>
      <c r="AE43" s="2"/>
      <c r="AF43" s="2"/>
      <c r="AG43" s="2"/>
    </row>
    <row r="44">
      <c r="A44" s="54" t="str">
        <f t="shared" si="79"/>
        <v>2022Q1</v>
      </c>
      <c r="B44" s="45">
        <f t="shared" si="80"/>
        <v>0.08339197748</v>
      </c>
      <c r="C44" s="45">
        <f t="shared" si="83"/>
        <v>0.1004707028</v>
      </c>
      <c r="D44" s="51"/>
      <c r="E44" s="46">
        <f t="shared" si="81"/>
        <v>8054.599156</v>
      </c>
      <c r="F44" s="46">
        <f t="shared" si="84"/>
        <v>8717.988691</v>
      </c>
      <c r="G44" s="55"/>
      <c r="H44" s="46">
        <f t="shared" si="82"/>
        <v>5873.661538</v>
      </c>
      <c r="I44" s="46">
        <f t="shared" si="85"/>
        <v>5747.00213</v>
      </c>
      <c r="J44" s="55"/>
      <c r="K44" s="2"/>
      <c r="L44" s="2"/>
      <c r="M44" s="2"/>
      <c r="N44" s="2"/>
      <c r="O44" s="2"/>
      <c r="P44" s="2"/>
      <c r="Q44" s="2"/>
      <c r="R44" s="2"/>
      <c r="S44" s="2"/>
      <c r="T44" s="2"/>
      <c r="U44" s="2"/>
      <c r="V44" s="2"/>
      <c r="W44" s="2"/>
      <c r="X44" s="2"/>
      <c r="Y44" s="2"/>
      <c r="Z44" s="2"/>
      <c r="AA44" s="2"/>
      <c r="AB44" s="2"/>
      <c r="AC44" s="2"/>
      <c r="AD44" s="2"/>
      <c r="AE44" s="2"/>
      <c r="AF44" s="2"/>
      <c r="AG44" s="2"/>
    </row>
    <row r="45">
      <c r="A45" s="54" t="str">
        <f t="shared" si="79"/>
        <v>2022Q2</v>
      </c>
      <c r="B45" s="45">
        <f t="shared" si="80"/>
        <v>0.1118930331</v>
      </c>
      <c r="C45" s="45">
        <f t="shared" si="83"/>
        <v>0.08862197695</v>
      </c>
      <c r="D45" s="51"/>
      <c r="E45" s="46">
        <f t="shared" si="81"/>
        <v>7412.893082</v>
      </c>
      <c r="F45" s="46">
        <f t="shared" si="84"/>
        <v>7352.57326</v>
      </c>
      <c r="G45" s="55"/>
      <c r="H45" s="46">
        <f t="shared" si="82"/>
        <v>5047.751606</v>
      </c>
      <c r="I45" s="46">
        <f t="shared" si="85"/>
        <v>4695.327485</v>
      </c>
      <c r="J45" s="55"/>
      <c r="K45" s="2"/>
      <c r="L45" s="2"/>
      <c r="M45" s="2"/>
      <c r="N45" s="2"/>
      <c r="O45" s="2"/>
      <c r="P45" s="2"/>
      <c r="Q45" s="2"/>
      <c r="R45" s="2"/>
      <c r="S45" s="2"/>
      <c r="T45" s="2"/>
      <c r="U45" s="2"/>
      <c r="V45" s="2"/>
      <c r="W45" s="2"/>
      <c r="X45" s="2"/>
      <c r="Y45" s="2"/>
      <c r="Z45" s="2"/>
      <c r="AA45" s="2"/>
      <c r="AB45" s="2"/>
      <c r="AC45" s="2"/>
      <c r="AD45" s="2"/>
      <c r="AE45" s="2"/>
      <c r="AF45" s="2"/>
      <c r="AG45" s="2"/>
    </row>
    <row r="46">
      <c r="A46" s="54" t="str">
        <f t="shared" si="79"/>
        <v>2022Q3</v>
      </c>
      <c r="B46" s="45">
        <f t="shared" si="80"/>
        <v>0.1115411682</v>
      </c>
      <c r="C46" s="45">
        <f t="shared" si="83"/>
        <v>0.07320240221</v>
      </c>
      <c r="D46" s="51"/>
      <c r="E46" s="46">
        <f t="shared" si="81"/>
        <v>6982.744479</v>
      </c>
      <c r="F46" s="46">
        <f t="shared" si="84"/>
        <v>7795.853659</v>
      </c>
      <c r="G46" s="55"/>
      <c r="H46" s="46">
        <f t="shared" si="82"/>
        <v>4729.764957</v>
      </c>
      <c r="I46" s="46">
        <f t="shared" si="85"/>
        <v>5051.623563</v>
      </c>
      <c r="J46" s="55"/>
      <c r="K46" s="2"/>
      <c r="L46" s="2"/>
      <c r="M46" s="2"/>
      <c r="N46" s="2"/>
      <c r="O46" s="2"/>
      <c r="P46" s="2"/>
      <c r="Q46" s="2"/>
      <c r="R46" s="2"/>
      <c r="S46" s="2"/>
      <c r="T46" s="2"/>
      <c r="U46" s="2"/>
      <c r="V46" s="2"/>
      <c r="W46" s="2"/>
      <c r="X46" s="2"/>
      <c r="Y46" s="2"/>
      <c r="Z46" s="2"/>
      <c r="AA46" s="2"/>
      <c r="AB46" s="2"/>
      <c r="AC46" s="2"/>
      <c r="AD46" s="2"/>
      <c r="AE46" s="2"/>
      <c r="AF46" s="2"/>
      <c r="AG46" s="2"/>
    </row>
    <row r="47">
      <c r="A47" s="54" t="str">
        <f t="shared" si="79"/>
        <v>2022Q4</v>
      </c>
      <c r="B47" s="45">
        <f t="shared" si="80"/>
        <v>0.1287825475</v>
      </c>
      <c r="C47" s="45">
        <f t="shared" si="83"/>
        <v>0.152410323</v>
      </c>
      <c r="D47" s="45">
        <f t="shared" ref="D47:D55" si="86">Z28</f>
        <v>1</v>
      </c>
      <c r="E47" s="46">
        <f t="shared" si="81"/>
        <v>8245.040984</v>
      </c>
      <c r="F47" s="46">
        <f t="shared" si="84"/>
        <v>9322.880724</v>
      </c>
      <c r="G47" s="46">
        <f t="shared" ref="G47:G55" si="87">AA28</f>
        <v>7837.083829</v>
      </c>
      <c r="H47" s="46">
        <f t="shared" si="82"/>
        <v>4906.804878</v>
      </c>
      <c r="I47" s="46">
        <f t="shared" si="85"/>
        <v>5544.132362</v>
      </c>
      <c r="J47" s="46">
        <f t="shared" ref="J47:J55" si="88">AC28</f>
        <v>6024.034767</v>
      </c>
      <c r="K47" s="2"/>
      <c r="L47" s="2"/>
      <c r="M47" s="2"/>
      <c r="N47" s="2"/>
      <c r="O47" s="2"/>
      <c r="P47" s="2"/>
      <c r="Q47" s="2"/>
      <c r="R47" s="2"/>
      <c r="S47" s="2"/>
      <c r="T47" s="2"/>
      <c r="U47" s="2"/>
      <c r="V47" s="2"/>
      <c r="W47" s="2"/>
      <c r="X47" s="2"/>
      <c r="Y47" s="2"/>
      <c r="Z47" s="2"/>
      <c r="AA47" s="2"/>
      <c r="AB47" s="2"/>
      <c r="AC47" s="2"/>
      <c r="AD47" s="2"/>
      <c r="AE47" s="2"/>
      <c r="AF47" s="2"/>
      <c r="AG47" s="2"/>
    </row>
    <row r="48">
      <c r="A48" s="54" t="str">
        <f t="shared" si="79"/>
        <v>2023Q1</v>
      </c>
      <c r="B48" s="45">
        <f t="shared" si="80"/>
        <v>0.08233638283</v>
      </c>
      <c r="C48" s="45">
        <f t="shared" si="83"/>
        <v>0.06784612888</v>
      </c>
      <c r="D48" s="45">
        <f t="shared" si="86"/>
        <v>0.1173269852</v>
      </c>
      <c r="E48" s="46">
        <f t="shared" si="81"/>
        <v>6732.32906</v>
      </c>
      <c r="F48" s="46">
        <f t="shared" si="84"/>
        <v>8205.789474</v>
      </c>
      <c r="G48" s="46">
        <f t="shared" si="87"/>
        <v>8017.166667</v>
      </c>
      <c r="H48" s="46">
        <f t="shared" si="82"/>
        <v>4647.094395</v>
      </c>
      <c r="I48" s="46">
        <f t="shared" si="85"/>
        <v>4992.751092</v>
      </c>
      <c r="J48" s="46">
        <f t="shared" si="88"/>
        <v>5471.656775</v>
      </c>
      <c r="K48" s="2"/>
      <c r="L48" s="2"/>
      <c r="M48" s="2"/>
      <c r="N48" s="2"/>
      <c r="O48" s="2"/>
      <c r="P48" s="2"/>
      <c r="Q48" s="2"/>
      <c r="R48" s="2"/>
      <c r="S48" s="2"/>
      <c r="T48" s="2"/>
      <c r="U48" s="2"/>
      <c r="V48" s="2"/>
      <c r="W48" s="2"/>
      <c r="X48" s="2"/>
      <c r="Y48" s="2"/>
      <c r="Z48" s="2"/>
      <c r="AA48" s="2"/>
      <c r="AB48" s="2"/>
      <c r="AC48" s="2"/>
      <c r="AD48" s="2"/>
      <c r="AE48" s="2"/>
      <c r="AF48" s="2"/>
      <c r="AG48" s="2"/>
    </row>
    <row r="49">
      <c r="A49" s="54" t="str">
        <f t="shared" si="79"/>
        <v>2023Q2</v>
      </c>
      <c r="B49" s="45">
        <f t="shared" si="80"/>
        <v>0.08937368051</v>
      </c>
      <c r="C49" s="45">
        <f t="shared" si="83"/>
        <v>0.07174160039</v>
      </c>
      <c r="D49" s="45">
        <f t="shared" si="86"/>
        <v>0.08042849855</v>
      </c>
      <c r="E49" s="46">
        <f t="shared" si="81"/>
        <v>7105.393701</v>
      </c>
      <c r="F49" s="46">
        <f t="shared" si="84"/>
        <v>7636.78733</v>
      </c>
      <c r="G49" s="46">
        <f t="shared" si="87"/>
        <v>7550.465116</v>
      </c>
      <c r="H49" s="46">
        <f t="shared" si="82"/>
        <v>4423.455882</v>
      </c>
      <c r="I49" s="46">
        <f t="shared" si="85"/>
        <v>4573.794038</v>
      </c>
      <c r="J49" s="46">
        <f t="shared" si="88"/>
        <v>5290.918519</v>
      </c>
      <c r="K49" s="2"/>
      <c r="L49" s="2"/>
      <c r="M49" s="2"/>
      <c r="N49" s="2"/>
      <c r="O49" s="2"/>
      <c r="P49" s="2"/>
      <c r="Q49" s="2"/>
      <c r="R49" s="2"/>
      <c r="S49" s="2"/>
      <c r="T49" s="2"/>
      <c r="U49" s="2"/>
      <c r="V49" s="2"/>
      <c r="W49" s="2"/>
      <c r="X49" s="2"/>
      <c r="Y49" s="2"/>
      <c r="Z49" s="2"/>
      <c r="AA49" s="2"/>
      <c r="AB49" s="2"/>
      <c r="AC49" s="2"/>
      <c r="AD49" s="2"/>
      <c r="AE49" s="2"/>
      <c r="AF49" s="2"/>
      <c r="AG49" s="2"/>
    </row>
    <row r="50">
      <c r="A50" s="54" t="str">
        <f t="shared" si="79"/>
        <v>2023Q3</v>
      </c>
      <c r="B50" s="45">
        <f t="shared" si="80"/>
        <v>0.09465165376</v>
      </c>
      <c r="C50" s="45">
        <f t="shared" si="83"/>
        <v>0.06979386463</v>
      </c>
      <c r="D50" s="45">
        <f t="shared" si="86"/>
        <v>0.07141642578</v>
      </c>
      <c r="E50" s="46">
        <f t="shared" si="81"/>
        <v>5883.773234</v>
      </c>
      <c r="F50" s="46">
        <f t="shared" si="84"/>
        <v>8084.616279</v>
      </c>
      <c r="G50" s="46">
        <f t="shared" si="87"/>
        <v>6757.142857</v>
      </c>
      <c r="H50" s="46">
        <f t="shared" si="82"/>
        <v>4111</v>
      </c>
      <c r="I50" s="46">
        <f t="shared" si="85"/>
        <v>4755.656635</v>
      </c>
      <c r="J50" s="46">
        <f t="shared" si="88"/>
        <v>4722.129784</v>
      </c>
      <c r="K50" s="2"/>
      <c r="L50" s="2"/>
      <c r="M50" s="2"/>
      <c r="N50" s="2"/>
      <c r="O50" s="2"/>
      <c r="P50" s="2"/>
      <c r="Q50" s="2"/>
      <c r="R50" s="2"/>
      <c r="S50" s="2"/>
      <c r="T50" s="2"/>
      <c r="U50" s="2"/>
      <c r="V50" s="2"/>
      <c r="W50" s="2"/>
      <c r="X50" s="2"/>
      <c r="Y50" s="2"/>
      <c r="Z50" s="2"/>
      <c r="AA50" s="2"/>
      <c r="AB50" s="2"/>
      <c r="AC50" s="2"/>
      <c r="AD50" s="2"/>
      <c r="AE50" s="2"/>
      <c r="AF50" s="2"/>
      <c r="AG50" s="2"/>
    </row>
    <row r="51">
      <c r="A51" s="54" t="str">
        <f t="shared" si="79"/>
        <v>2023Q4</v>
      </c>
      <c r="B51" s="45">
        <f t="shared" si="80"/>
        <v>0.1259676284</v>
      </c>
      <c r="C51" s="45">
        <f t="shared" si="83"/>
        <v>0.1436455121</v>
      </c>
      <c r="D51" s="45">
        <f t="shared" si="86"/>
        <v>0.1698690699</v>
      </c>
      <c r="E51" s="46">
        <f t="shared" si="81"/>
        <v>9000.181564</v>
      </c>
      <c r="F51" s="46">
        <f t="shared" si="84"/>
        <v>9616.485876</v>
      </c>
      <c r="G51" s="46">
        <f t="shared" si="87"/>
        <v>8936.096096</v>
      </c>
      <c r="H51" s="46">
        <f t="shared" si="82"/>
        <v>5155.304</v>
      </c>
      <c r="I51" s="46">
        <f t="shared" si="85"/>
        <v>5519.189364</v>
      </c>
      <c r="J51" s="46">
        <f t="shared" si="88"/>
        <v>5377.807229</v>
      </c>
      <c r="K51" s="2"/>
      <c r="L51" s="2"/>
      <c r="M51" s="2"/>
      <c r="N51" s="2"/>
      <c r="O51" s="2"/>
      <c r="P51" s="2"/>
      <c r="Q51" s="2"/>
      <c r="R51" s="2"/>
      <c r="S51" s="2"/>
      <c r="T51" s="2"/>
      <c r="U51" s="2"/>
      <c r="V51" s="2"/>
      <c r="W51" s="2"/>
      <c r="X51" s="2"/>
      <c r="Y51" s="2"/>
      <c r="Z51" s="2"/>
      <c r="AA51" s="2"/>
      <c r="AB51" s="2"/>
      <c r="AC51" s="2"/>
      <c r="AD51" s="2"/>
      <c r="AE51" s="2"/>
      <c r="AF51" s="2"/>
      <c r="AG51" s="2"/>
    </row>
    <row r="52">
      <c r="A52" s="54" t="str">
        <f t="shared" si="79"/>
        <v>2024Q1</v>
      </c>
      <c r="B52" s="45">
        <f t="shared" si="80"/>
        <v>0.07741027445</v>
      </c>
      <c r="C52" s="45">
        <f t="shared" si="83"/>
        <v>0.06184061029</v>
      </c>
      <c r="D52" s="45">
        <f t="shared" si="86"/>
        <v>0.06580513518</v>
      </c>
      <c r="E52" s="46">
        <f t="shared" si="81"/>
        <v>7449.75</v>
      </c>
      <c r="F52" s="46">
        <f t="shared" si="84"/>
        <v>9027.650919</v>
      </c>
      <c r="G52" s="46">
        <f t="shared" si="87"/>
        <v>8101.485788</v>
      </c>
      <c r="H52" s="46">
        <f t="shared" si="82"/>
        <v>5074.133127</v>
      </c>
      <c r="I52" s="46">
        <f t="shared" si="85"/>
        <v>5503.256</v>
      </c>
      <c r="J52" s="46">
        <f t="shared" si="88"/>
        <v>5578.781139</v>
      </c>
      <c r="K52" s="2"/>
      <c r="L52" s="2"/>
      <c r="M52" s="2"/>
      <c r="N52" s="2"/>
      <c r="O52" s="2"/>
      <c r="P52" s="2"/>
      <c r="Q52" s="2"/>
      <c r="R52" s="2"/>
      <c r="S52" s="2"/>
      <c r="T52" s="2"/>
      <c r="U52" s="2"/>
      <c r="V52" s="2"/>
      <c r="W52" s="2"/>
      <c r="X52" s="2"/>
      <c r="Y52" s="2"/>
      <c r="Z52" s="2"/>
      <c r="AA52" s="2"/>
      <c r="AB52" s="2"/>
      <c r="AC52" s="2"/>
      <c r="AD52" s="2"/>
      <c r="AE52" s="2"/>
      <c r="AF52" s="2"/>
      <c r="AG52" s="2"/>
    </row>
    <row r="53">
      <c r="A53" s="54" t="str">
        <f t="shared" si="79"/>
        <v>2024Q2</v>
      </c>
      <c r="B53" s="45">
        <f t="shared" si="80"/>
        <v>0.07881773399</v>
      </c>
      <c r="C53" s="45">
        <f t="shared" si="83"/>
        <v>0.06232754423</v>
      </c>
      <c r="D53" s="45">
        <f t="shared" si="86"/>
        <v>0.05832341439</v>
      </c>
      <c r="E53" s="46">
        <f t="shared" si="81"/>
        <v>7779.799107</v>
      </c>
      <c r="F53" s="46">
        <f t="shared" si="84"/>
        <v>9029.882813</v>
      </c>
      <c r="G53" s="46">
        <f t="shared" si="87"/>
        <v>7425</v>
      </c>
      <c r="H53" s="46">
        <f t="shared" si="82"/>
        <v>5155.843195</v>
      </c>
      <c r="I53" s="46">
        <f t="shared" si="85"/>
        <v>5301.949541</v>
      </c>
      <c r="J53" s="46">
        <f t="shared" si="88"/>
        <v>4878.87931</v>
      </c>
      <c r="K53" s="2"/>
      <c r="L53" s="2"/>
      <c r="M53" s="2"/>
      <c r="N53" s="2"/>
      <c r="O53" s="2"/>
      <c r="P53" s="2"/>
      <c r="Q53" s="2"/>
      <c r="R53" s="2"/>
      <c r="S53" s="2"/>
      <c r="T53" s="2"/>
      <c r="U53" s="2"/>
      <c r="V53" s="2"/>
      <c r="W53" s="2"/>
      <c r="X53" s="2"/>
      <c r="Y53" s="2"/>
      <c r="Z53" s="2"/>
      <c r="AA53" s="2"/>
      <c r="AB53" s="2"/>
      <c r="AC53" s="2"/>
      <c r="AD53" s="2"/>
      <c r="AE53" s="2"/>
      <c r="AF53" s="2"/>
      <c r="AG53" s="2"/>
    </row>
    <row r="54">
      <c r="A54" s="56" t="str">
        <f t="shared" si="79"/>
        <v>2024Q3</v>
      </c>
      <c r="B54" s="45">
        <f t="shared" si="80"/>
        <v>0.08092892329</v>
      </c>
      <c r="C54" s="45">
        <f t="shared" si="83"/>
        <v>0.0569712709</v>
      </c>
      <c r="D54" s="45">
        <f t="shared" si="86"/>
        <v>0.0605339228</v>
      </c>
      <c r="E54" s="46">
        <f t="shared" si="81"/>
        <v>6290.086957</v>
      </c>
      <c r="F54" s="46">
        <f t="shared" si="84"/>
        <v>6877.037037</v>
      </c>
      <c r="G54" s="46">
        <f t="shared" si="87"/>
        <v>6325.772472</v>
      </c>
      <c r="H54" s="46">
        <f t="shared" si="82"/>
        <v>4145.329513</v>
      </c>
      <c r="I54" s="46">
        <f t="shared" si="85"/>
        <v>4302.745098</v>
      </c>
      <c r="J54" s="46">
        <f t="shared" si="88"/>
        <v>4347.442085</v>
      </c>
      <c r="K54" s="2"/>
      <c r="L54" s="2"/>
      <c r="M54" s="2"/>
      <c r="N54" s="2"/>
      <c r="O54" s="2"/>
      <c r="P54" s="2"/>
      <c r="Q54" s="2"/>
      <c r="R54" s="2"/>
      <c r="S54" s="2"/>
      <c r="T54" s="2"/>
      <c r="U54" s="2"/>
      <c r="V54" s="2"/>
      <c r="W54" s="2"/>
      <c r="X54" s="2"/>
      <c r="Y54" s="2"/>
      <c r="Z54" s="2"/>
      <c r="AA54" s="2"/>
      <c r="AB54" s="2"/>
      <c r="AC54" s="2"/>
      <c r="AD54" s="2"/>
      <c r="AE54" s="2"/>
      <c r="AF54" s="2"/>
      <c r="AG54" s="2"/>
    </row>
    <row r="55">
      <c r="A55" s="54" t="str">
        <f t="shared" si="79"/>
        <v>2024Q4</v>
      </c>
      <c r="B55" s="45">
        <f t="shared" si="80"/>
        <v>0.1094299789</v>
      </c>
      <c r="C55" s="45">
        <f t="shared" si="83"/>
        <v>0.1205973056</v>
      </c>
      <c r="D55" s="45">
        <f t="shared" si="86"/>
        <v>0.1322904268</v>
      </c>
      <c r="E55" s="46">
        <f t="shared" si="81"/>
        <v>8661.527331</v>
      </c>
      <c r="F55" s="46">
        <f t="shared" si="84"/>
        <v>10151.60834</v>
      </c>
      <c r="G55" s="46">
        <f t="shared" si="87"/>
        <v>9364.280206</v>
      </c>
      <c r="H55" s="46">
        <f t="shared" si="82"/>
        <v>5150.544933</v>
      </c>
      <c r="I55" s="46">
        <f t="shared" si="85"/>
        <v>5529.798387</v>
      </c>
      <c r="J55" s="46">
        <f t="shared" si="88"/>
        <v>5604.161538</v>
      </c>
      <c r="K55" s="2"/>
      <c r="L55" s="2"/>
      <c r="M55" s="2"/>
      <c r="N55" s="2"/>
      <c r="O55" s="2"/>
      <c r="P55" s="2"/>
      <c r="Q55" s="2"/>
      <c r="R55" s="2"/>
      <c r="S55" s="2"/>
      <c r="T55" s="2"/>
      <c r="U55" s="2"/>
      <c r="V55" s="2"/>
      <c r="W55" s="2"/>
      <c r="X55" s="2"/>
      <c r="Y55" s="2"/>
      <c r="Z55" s="2"/>
      <c r="AA55" s="2"/>
      <c r="AB55" s="2"/>
      <c r="AC55" s="2"/>
      <c r="AD55" s="2"/>
      <c r="AE55" s="2"/>
      <c r="AF55" s="2"/>
      <c r="AG55" s="2"/>
    </row>
    <row r="56">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row>
    <row r="57">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row>
    <row r="58">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row>
    <row r="59">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row>
    <row r="60">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row>
    <row r="6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row>
    <row r="6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row>
    <row r="6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row>
    <row r="64">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row>
    <row r="6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row>
    <row r="66">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row>
    <row r="67">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row>
    <row r="68">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row>
    <row r="69">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row>
    <row r="70">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row>
    <row r="7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row>
    <row r="7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row>
    <row r="7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row>
    <row r="74">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row>
    <row r="7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row>
    <row r="76">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row>
    <row r="77">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row>
    <row r="78">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row>
    <row r="79">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7" t="s">
        <v>33</v>
      </c>
      <c r="B1" s="58"/>
      <c r="C1" s="58"/>
      <c r="D1" s="58"/>
      <c r="E1" s="58"/>
      <c r="F1" s="58"/>
      <c r="G1" s="58"/>
      <c r="H1" s="58"/>
      <c r="I1" s="58"/>
      <c r="J1" s="58"/>
      <c r="K1" s="58"/>
      <c r="L1" s="58"/>
      <c r="M1" s="58"/>
      <c r="N1" s="58"/>
      <c r="O1" s="58"/>
      <c r="P1" s="58"/>
      <c r="Q1" s="58"/>
      <c r="R1" s="58"/>
      <c r="S1" s="58"/>
      <c r="T1" s="58"/>
      <c r="U1" s="58"/>
      <c r="V1" s="58"/>
      <c r="W1" s="58"/>
      <c r="X1" s="58"/>
      <c r="Y1" s="58"/>
      <c r="Z1" s="58"/>
    </row>
    <row r="2">
      <c r="A2" s="59" t="s">
        <v>34</v>
      </c>
      <c r="B2" s="60"/>
      <c r="C2" s="60"/>
      <c r="D2" s="60"/>
      <c r="E2" s="60"/>
      <c r="F2" s="60"/>
      <c r="G2" s="60"/>
      <c r="H2" s="60"/>
      <c r="I2" s="60"/>
      <c r="J2" s="60"/>
      <c r="K2" s="60"/>
      <c r="L2" s="60"/>
      <c r="M2" s="60"/>
      <c r="N2" s="60"/>
      <c r="O2" s="60"/>
      <c r="P2" s="60"/>
      <c r="Q2" s="60"/>
      <c r="R2" s="60"/>
      <c r="S2" s="60"/>
      <c r="T2" s="60"/>
      <c r="U2" s="60"/>
      <c r="V2" s="60"/>
      <c r="W2" s="60"/>
      <c r="X2" s="60"/>
      <c r="Y2" s="60"/>
      <c r="Z2" s="60"/>
    </row>
    <row r="3">
      <c r="A3" s="60"/>
      <c r="B3" s="60"/>
      <c r="C3" s="60"/>
      <c r="D3" s="60"/>
      <c r="E3" s="60"/>
      <c r="F3" s="60"/>
      <c r="G3" s="60"/>
      <c r="H3" s="60"/>
      <c r="I3" s="60"/>
      <c r="J3" s="60"/>
      <c r="K3" s="60"/>
      <c r="L3" s="60"/>
      <c r="M3" s="60"/>
      <c r="N3" s="60"/>
      <c r="O3" s="60"/>
      <c r="P3" s="60"/>
      <c r="Q3" s="60"/>
      <c r="R3" s="60"/>
      <c r="S3" s="60"/>
      <c r="T3" s="60"/>
      <c r="U3" s="60"/>
      <c r="V3" s="60"/>
      <c r="W3" s="60"/>
      <c r="X3" s="60"/>
      <c r="Y3" s="60"/>
      <c r="Z3" s="60"/>
    </row>
    <row r="4">
      <c r="A4" s="59" t="s">
        <v>35</v>
      </c>
      <c r="B4" s="60"/>
      <c r="C4" s="60"/>
      <c r="D4" s="60"/>
      <c r="E4" s="60"/>
      <c r="F4" s="60"/>
      <c r="G4" s="60"/>
      <c r="H4" s="60"/>
      <c r="I4" s="60"/>
      <c r="J4" s="60"/>
      <c r="K4" s="60"/>
      <c r="L4" s="60"/>
      <c r="M4" s="60"/>
      <c r="N4" s="60"/>
      <c r="O4" s="60"/>
      <c r="P4" s="60"/>
      <c r="Q4" s="60"/>
      <c r="R4" s="60"/>
      <c r="S4" s="60"/>
      <c r="T4" s="60"/>
      <c r="U4" s="60"/>
      <c r="V4" s="60"/>
      <c r="W4" s="60"/>
      <c r="X4" s="60"/>
      <c r="Y4" s="60"/>
      <c r="Z4" s="60"/>
    </row>
    <row r="5">
      <c r="A5" s="60"/>
      <c r="B5" s="60"/>
      <c r="C5" s="60"/>
      <c r="D5" s="60"/>
      <c r="E5" s="60"/>
      <c r="F5" s="60"/>
      <c r="G5" s="60"/>
      <c r="H5" s="60"/>
      <c r="I5" s="60"/>
      <c r="J5" s="60"/>
      <c r="K5" s="60"/>
      <c r="L5" s="60"/>
      <c r="M5" s="60"/>
      <c r="N5" s="60"/>
      <c r="O5" s="60"/>
      <c r="P5" s="60"/>
      <c r="Q5" s="60"/>
      <c r="R5" s="60"/>
      <c r="S5" s="60"/>
      <c r="T5" s="60"/>
      <c r="U5" s="60"/>
      <c r="V5" s="60"/>
      <c r="W5" s="60"/>
      <c r="X5" s="60"/>
      <c r="Y5" s="60"/>
      <c r="Z5" s="60"/>
    </row>
    <row r="6">
      <c r="A6" s="59" t="s">
        <v>36</v>
      </c>
      <c r="B6" s="60"/>
      <c r="C6" s="60"/>
      <c r="D6" s="60"/>
      <c r="E6" s="60"/>
      <c r="F6" s="60"/>
      <c r="G6" s="60"/>
      <c r="H6" s="60"/>
      <c r="I6" s="60"/>
      <c r="J6" s="60"/>
      <c r="K6" s="60"/>
      <c r="L6" s="60"/>
      <c r="M6" s="60"/>
      <c r="N6" s="60"/>
      <c r="O6" s="60"/>
      <c r="P6" s="60"/>
      <c r="Q6" s="60"/>
      <c r="R6" s="60"/>
      <c r="S6" s="60"/>
      <c r="T6" s="60"/>
      <c r="U6" s="60"/>
      <c r="V6" s="60"/>
      <c r="W6" s="60"/>
      <c r="X6" s="60"/>
      <c r="Y6" s="60"/>
      <c r="Z6" s="60"/>
    </row>
    <row r="7">
      <c r="A7" s="60"/>
      <c r="B7" s="60"/>
      <c r="C7" s="60"/>
      <c r="D7" s="60"/>
      <c r="E7" s="60"/>
      <c r="F7" s="60"/>
      <c r="G7" s="60"/>
      <c r="H7" s="60"/>
      <c r="I7" s="60"/>
      <c r="J7" s="60"/>
      <c r="K7" s="60"/>
      <c r="L7" s="60"/>
      <c r="M7" s="60"/>
      <c r="N7" s="60"/>
      <c r="O7" s="60"/>
      <c r="P7" s="60"/>
      <c r="Q7" s="60"/>
      <c r="R7" s="60"/>
      <c r="S7" s="60"/>
      <c r="T7" s="60"/>
      <c r="U7" s="60"/>
      <c r="V7" s="60"/>
      <c r="W7" s="60"/>
      <c r="X7" s="60"/>
      <c r="Y7" s="60"/>
      <c r="Z7" s="60"/>
    </row>
    <row r="8">
      <c r="A8" s="59" t="s">
        <v>37</v>
      </c>
      <c r="B8" s="60"/>
      <c r="C8" s="60"/>
      <c r="D8" s="60"/>
      <c r="E8" s="60"/>
      <c r="F8" s="60"/>
      <c r="G8" s="60"/>
      <c r="H8" s="60"/>
      <c r="I8" s="60"/>
      <c r="J8" s="60"/>
      <c r="K8" s="60"/>
      <c r="L8" s="60"/>
      <c r="M8" s="60"/>
      <c r="N8" s="60"/>
      <c r="O8" s="60"/>
      <c r="P8" s="60"/>
      <c r="Q8" s="60"/>
      <c r="R8" s="60"/>
      <c r="S8" s="60"/>
      <c r="T8" s="60"/>
      <c r="U8" s="60"/>
      <c r="V8" s="60"/>
      <c r="W8" s="60"/>
      <c r="X8" s="60"/>
      <c r="Y8" s="60"/>
      <c r="Z8" s="60"/>
    </row>
    <row r="9">
      <c r="A9" s="60"/>
      <c r="B9" s="60"/>
      <c r="C9" s="60"/>
      <c r="D9" s="60"/>
      <c r="E9" s="60"/>
      <c r="F9" s="60"/>
      <c r="G9" s="60"/>
      <c r="H9" s="60"/>
      <c r="I9" s="60"/>
      <c r="J9" s="60"/>
      <c r="K9" s="60"/>
      <c r="L9" s="60"/>
      <c r="M9" s="60"/>
      <c r="N9" s="60"/>
      <c r="O9" s="60"/>
      <c r="P9" s="60"/>
      <c r="Q9" s="60"/>
      <c r="R9" s="60"/>
      <c r="S9" s="60"/>
      <c r="T9" s="60"/>
      <c r="U9" s="60"/>
      <c r="V9" s="60"/>
      <c r="W9" s="60"/>
      <c r="X9" s="60"/>
      <c r="Y9" s="60"/>
      <c r="Z9" s="60"/>
    </row>
    <row r="10">
      <c r="A10" s="59" t="s">
        <v>38</v>
      </c>
      <c r="B10" s="60"/>
      <c r="C10" s="60"/>
      <c r="D10" s="60"/>
      <c r="E10" s="60"/>
      <c r="F10" s="60"/>
      <c r="G10" s="60"/>
      <c r="H10" s="60"/>
      <c r="I10" s="60"/>
      <c r="J10" s="60"/>
      <c r="K10" s="60"/>
      <c r="L10" s="60"/>
      <c r="M10" s="60"/>
      <c r="N10" s="60"/>
      <c r="O10" s="60"/>
      <c r="P10" s="60"/>
      <c r="Q10" s="60"/>
      <c r="R10" s="60"/>
      <c r="S10" s="60"/>
      <c r="T10" s="60"/>
      <c r="U10" s="60"/>
      <c r="V10" s="60"/>
      <c r="W10" s="60"/>
      <c r="X10" s="60"/>
      <c r="Y10" s="60"/>
      <c r="Z10" s="60"/>
    </row>
    <row r="11">
      <c r="A11" s="60"/>
      <c r="B11" s="60"/>
      <c r="C11" s="60"/>
      <c r="D11" s="60"/>
      <c r="E11" s="60"/>
      <c r="F11" s="60"/>
      <c r="G11" s="60"/>
      <c r="H11" s="60"/>
      <c r="I11" s="60"/>
      <c r="J11" s="60"/>
      <c r="K11" s="60"/>
      <c r="L11" s="60"/>
      <c r="M11" s="60"/>
      <c r="N11" s="60"/>
      <c r="O11" s="60"/>
      <c r="P11" s="60"/>
      <c r="Q11" s="60"/>
      <c r="R11" s="60"/>
      <c r="S11" s="60"/>
      <c r="T11" s="60"/>
      <c r="U11" s="60"/>
      <c r="V11" s="60"/>
      <c r="W11" s="60"/>
      <c r="X11" s="60"/>
      <c r="Y11" s="60"/>
      <c r="Z11" s="60"/>
    </row>
    <row r="12">
      <c r="A12" s="59" t="s">
        <v>39</v>
      </c>
      <c r="B12" s="60"/>
      <c r="C12" s="60"/>
      <c r="D12" s="60"/>
      <c r="E12" s="60"/>
      <c r="F12" s="60"/>
      <c r="G12" s="60"/>
      <c r="H12" s="60"/>
      <c r="I12" s="60"/>
      <c r="J12" s="60"/>
      <c r="K12" s="60"/>
      <c r="L12" s="60"/>
      <c r="M12" s="60"/>
      <c r="N12" s="60"/>
      <c r="O12" s="60"/>
      <c r="P12" s="60"/>
      <c r="Q12" s="60"/>
      <c r="R12" s="60"/>
      <c r="S12" s="60"/>
      <c r="T12" s="60"/>
      <c r="U12" s="60"/>
      <c r="V12" s="60"/>
      <c r="W12" s="60"/>
      <c r="X12" s="60"/>
      <c r="Y12" s="60"/>
      <c r="Z12" s="60"/>
    </row>
    <row r="13">
      <c r="A13" s="60"/>
      <c r="B13" s="60"/>
      <c r="C13" s="60"/>
      <c r="D13" s="60"/>
      <c r="E13" s="60"/>
      <c r="F13" s="60"/>
      <c r="G13" s="60"/>
      <c r="H13" s="60"/>
      <c r="I13" s="60"/>
      <c r="J13" s="60"/>
      <c r="K13" s="60"/>
      <c r="L13" s="60"/>
      <c r="M13" s="60"/>
      <c r="N13" s="60"/>
      <c r="O13" s="60"/>
      <c r="P13" s="60"/>
      <c r="Q13" s="60"/>
      <c r="R13" s="60"/>
      <c r="S13" s="60"/>
      <c r="T13" s="60"/>
      <c r="U13" s="60"/>
      <c r="V13" s="60"/>
      <c r="W13" s="60"/>
      <c r="X13" s="60"/>
      <c r="Y13" s="60"/>
      <c r="Z13" s="60"/>
    </row>
    <row r="14">
      <c r="A14" s="59" t="s">
        <v>40</v>
      </c>
      <c r="B14" s="60"/>
      <c r="C14" s="60"/>
      <c r="D14" s="60"/>
      <c r="E14" s="60"/>
      <c r="F14" s="60"/>
      <c r="G14" s="60"/>
      <c r="H14" s="60"/>
      <c r="I14" s="60"/>
      <c r="J14" s="60"/>
      <c r="K14" s="60"/>
      <c r="L14" s="60"/>
      <c r="M14" s="60"/>
      <c r="N14" s="60"/>
      <c r="O14" s="60"/>
      <c r="P14" s="60"/>
      <c r="Q14" s="60"/>
      <c r="R14" s="60"/>
      <c r="S14" s="60"/>
      <c r="T14" s="60"/>
      <c r="U14" s="60"/>
      <c r="V14" s="60"/>
      <c r="W14" s="60"/>
      <c r="X14" s="60"/>
      <c r="Y14" s="60"/>
      <c r="Z14" s="60"/>
    </row>
    <row r="15">
      <c r="A15" s="60"/>
      <c r="B15" s="60"/>
      <c r="C15" s="60"/>
      <c r="D15" s="60"/>
      <c r="E15" s="60"/>
      <c r="F15" s="60"/>
      <c r="G15" s="60"/>
      <c r="H15" s="60"/>
      <c r="I15" s="60"/>
      <c r="J15" s="60"/>
      <c r="K15" s="60"/>
      <c r="L15" s="60"/>
      <c r="M15" s="60"/>
      <c r="N15" s="60"/>
      <c r="O15" s="60"/>
      <c r="P15" s="60"/>
      <c r="Q15" s="60"/>
      <c r="R15" s="60"/>
      <c r="S15" s="60"/>
      <c r="T15" s="60"/>
      <c r="U15" s="60"/>
      <c r="V15" s="60"/>
      <c r="W15" s="60"/>
      <c r="X15" s="60"/>
      <c r="Y15" s="60"/>
      <c r="Z15" s="60"/>
    </row>
    <row r="16">
      <c r="A16" s="59" t="s">
        <v>41</v>
      </c>
      <c r="B16" s="60"/>
      <c r="C16" s="60"/>
      <c r="D16" s="60"/>
      <c r="E16" s="60"/>
      <c r="F16" s="60"/>
      <c r="G16" s="60"/>
      <c r="H16" s="60"/>
      <c r="I16" s="60"/>
      <c r="J16" s="60"/>
      <c r="K16" s="60"/>
      <c r="L16" s="60"/>
      <c r="M16" s="60"/>
      <c r="N16" s="60"/>
      <c r="O16" s="60"/>
      <c r="P16" s="60"/>
      <c r="Q16" s="60"/>
      <c r="R16" s="60"/>
      <c r="S16" s="60"/>
      <c r="T16" s="60"/>
      <c r="U16" s="60"/>
      <c r="V16" s="60"/>
      <c r="W16" s="60"/>
      <c r="X16" s="60"/>
      <c r="Y16" s="60"/>
      <c r="Z16" s="60"/>
    </row>
    <row r="17">
      <c r="A17" s="60"/>
      <c r="B17" s="60"/>
      <c r="C17" s="60"/>
      <c r="D17" s="60"/>
      <c r="E17" s="60"/>
      <c r="F17" s="60"/>
      <c r="G17" s="60"/>
      <c r="H17" s="60"/>
      <c r="I17" s="60"/>
      <c r="J17" s="60"/>
      <c r="K17" s="60"/>
      <c r="L17" s="60"/>
      <c r="M17" s="60"/>
      <c r="N17" s="60"/>
      <c r="O17" s="60"/>
      <c r="P17" s="60"/>
      <c r="Q17" s="60"/>
      <c r="R17" s="60"/>
      <c r="S17" s="60"/>
      <c r="T17" s="60"/>
      <c r="U17" s="60"/>
      <c r="V17" s="60"/>
      <c r="W17" s="60"/>
      <c r="X17" s="60"/>
      <c r="Y17" s="60"/>
      <c r="Z17" s="60"/>
    </row>
    <row r="18">
      <c r="A18" s="57" t="s">
        <v>42</v>
      </c>
      <c r="B18" s="58"/>
      <c r="C18" s="58"/>
      <c r="D18" s="58"/>
      <c r="E18" s="58"/>
      <c r="F18" s="58"/>
      <c r="G18" s="58"/>
      <c r="H18" s="58"/>
      <c r="I18" s="58"/>
      <c r="J18" s="58"/>
      <c r="K18" s="58"/>
      <c r="L18" s="58"/>
      <c r="M18" s="58"/>
      <c r="N18" s="58"/>
      <c r="O18" s="58"/>
      <c r="P18" s="58"/>
      <c r="Q18" s="58"/>
      <c r="R18" s="58"/>
      <c r="S18" s="58"/>
      <c r="T18" s="58"/>
      <c r="U18" s="58"/>
      <c r="V18" s="58"/>
      <c r="W18" s="58"/>
      <c r="X18" s="58"/>
      <c r="Y18" s="58"/>
      <c r="Z18" s="58"/>
    </row>
    <row r="19">
      <c r="A19" s="59" t="s">
        <v>43</v>
      </c>
      <c r="B19" s="60"/>
      <c r="C19" s="60"/>
      <c r="D19" s="60"/>
      <c r="E19" s="60"/>
      <c r="F19" s="60"/>
      <c r="G19" s="60"/>
      <c r="H19" s="60"/>
      <c r="I19" s="60"/>
      <c r="J19" s="60"/>
      <c r="K19" s="60"/>
      <c r="L19" s="60"/>
      <c r="M19" s="60"/>
      <c r="N19" s="60"/>
      <c r="O19" s="60"/>
      <c r="P19" s="60"/>
      <c r="Q19" s="60"/>
      <c r="R19" s="60"/>
      <c r="S19" s="60"/>
      <c r="T19" s="60"/>
      <c r="U19" s="60"/>
      <c r="V19" s="60"/>
      <c r="W19" s="60"/>
      <c r="X19" s="60"/>
      <c r="Y19" s="60"/>
      <c r="Z19" s="60"/>
    </row>
    <row r="20">
      <c r="A20" s="60"/>
      <c r="B20" s="60"/>
      <c r="C20" s="60"/>
      <c r="D20" s="60"/>
      <c r="E20" s="60"/>
      <c r="F20" s="60"/>
      <c r="G20" s="60"/>
      <c r="H20" s="60"/>
      <c r="I20" s="60"/>
      <c r="J20" s="60"/>
      <c r="K20" s="60"/>
      <c r="L20" s="60"/>
      <c r="M20" s="60"/>
      <c r="N20" s="60"/>
      <c r="O20" s="60"/>
      <c r="P20" s="60"/>
      <c r="Q20" s="60"/>
      <c r="R20" s="60"/>
      <c r="S20" s="60"/>
      <c r="T20" s="60"/>
      <c r="U20" s="60"/>
      <c r="V20" s="60"/>
      <c r="W20" s="60"/>
      <c r="X20" s="60"/>
      <c r="Y20" s="60"/>
      <c r="Z20" s="60"/>
    </row>
    <row r="21">
      <c r="A21" s="59" t="s">
        <v>44</v>
      </c>
      <c r="B21" s="60"/>
      <c r="C21" s="60"/>
      <c r="D21" s="60"/>
      <c r="E21" s="60"/>
      <c r="F21" s="60"/>
      <c r="G21" s="60"/>
      <c r="H21" s="60"/>
      <c r="I21" s="60"/>
      <c r="J21" s="60"/>
      <c r="K21" s="60"/>
      <c r="L21" s="60"/>
      <c r="M21" s="60"/>
      <c r="N21" s="60"/>
      <c r="O21" s="60"/>
      <c r="P21" s="60"/>
      <c r="Q21" s="60"/>
      <c r="R21" s="60"/>
      <c r="S21" s="60"/>
      <c r="T21" s="60"/>
      <c r="U21" s="60"/>
      <c r="V21" s="60"/>
      <c r="W21" s="60"/>
      <c r="X21" s="60"/>
      <c r="Y21" s="60"/>
      <c r="Z21" s="60"/>
    </row>
    <row r="22">
      <c r="A22" s="60"/>
      <c r="B22" s="60"/>
      <c r="C22" s="60"/>
      <c r="D22" s="60"/>
      <c r="E22" s="60"/>
      <c r="F22" s="60"/>
      <c r="G22" s="60"/>
      <c r="H22" s="60"/>
      <c r="I22" s="60"/>
      <c r="J22" s="60"/>
      <c r="K22" s="60"/>
      <c r="L22" s="60"/>
      <c r="M22" s="60"/>
      <c r="N22" s="60"/>
      <c r="O22" s="60"/>
      <c r="P22" s="60"/>
      <c r="Q22" s="60"/>
      <c r="R22" s="60"/>
      <c r="S22" s="60"/>
      <c r="T22" s="60"/>
      <c r="U22" s="60"/>
      <c r="V22" s="60"/>
      <c r="W22" s="60"/>
      <c r="X22" s="60"/>
      <c r="Y22" s="60"/>
      <c r="Z22" s="60"/>
    </row>
    <row r="23">
      <c r="A23" s="59" t="s">
        <v>45</v>
      </c>
      <c r="B23" s="60"/>
      <c r="C23" s="60"/>
      <c r="D23" s="60"/>
      <c r="E23" s="60"/>
      <c r="F23" s="60"/>
      <c r="G23" s="60"/>
      <c r="H23" s="60"/>
      <c r="I23" s="60"/>
      <c r="J23" s="60"/>
      <c r="K23" s="60"/>
      <c r="L23" s="60"/>
      <c r="M23" s="60"/>
      <c r="N23" s="60"/>
      <c r="O23" s="60"/>
      <c r="P23" s="60"/>
      <c r="Q23" s="60"/>
      <c r="R23" s="60"/>
      <c r="S23" s="60"/>
      <c r="T23" s="60"/>
      <c r="U23" s="60"/>
      <c r="V23" s="60"/>
      <c r="W23" s="60"/>
      <c r="X23" s="60"/>
      <c r="Y23" s="60"/>
      <c r="Z23" s="60"/>
    </row>
    <row r="24">
      <c r="A24" s="60"/>
      <c r="B24" s="60"/>
      <c r="C24" s="60"/>
      <c r="D24" s="60"/>
      <c r="E24" s="60"/>
      <c r="F24" s="60"/>
      <c r="G24" s="60"/>
      <c r="H24" s="60"/>
      <c r="I24" s="60"/>
      <c r="J24" s="60"/>
      <c r="K24" s="60"/>
      <c r="L24" s="60"/>
      <c r="M24" s="60"/>
      <c r="N24" s="60"/>
      <c r="O24" s="60"/>
      <c r="P24" s="60"/>
      <c r="Q24" s="60"/>
      <c r="R24" s="60"/>
      <c r="S24" s="60"/>
      <c r="T24" s="60"/>
      <c r="U24" s="60"/>
      <c r="V24" s="60"/>
      <c r="W24" s="60"/>
      <c r="X24" s="60"/>
      <c r="Y24" s="60"/>
      <c r="Z24" s="60"/>
    </row>
    <row r="25">
      <c r="A25" s="59" t="s">
        <v>46</v>
      </c>
      <c r="B25" s="60"/>
      <c r="C25" s="60"/>
      <c r="D25" s="60"/>
      <c r="E25" s="60"/>
      <c r="F25" s="60"/>
      <c r="G25" s="60"/>
      <c r="H25" s="60"/>
      <c r="I25" s="60"/>
      <c r="J25" s="60"/>
      <c r="K25" s="60"/>
      <c r="L25" s="60"/>
      <c r="M25" s="60"/>
      <c r="N25" s="60"/>
      <c r="O25" s="60"/>
      <c r="P25" s="60"/>
      <c r="Q25" s="60"/>
      <c r="R25" s="60"/>
      <c r="S25" s="60"/>
      <c r="T25" s="60"/>
      <c r="U25" s="60"/>
      <c r="V25" s="60"/>
      <c r="W25" s="60"/>
      <c r="X25" s="60"/>
      <c r="Y25" s="60"/>
      <c r="Z25" s="60"/>
    </row>
    <row r="26">
      <c r="A26" s="60"/>
      <c r="B26" s="60"/>
      <c r="C26" s="60"/>
      <c r="D26" s="60"/>
      <c r="E26" s="60"/>
      <c r="F26" s="60"/>
      <c r="G26" s="60"/>
      <c r="H26" s="60"/>
      <c r="I26" s="60"/>
      <c r="J26" s="60"/>
      <c r="K26" s="60"/>
      <c r="L26" s="60"/>
      <c r="M26" s="60"/>
      <c r="N26" s="60"/>
      <c r="O26" s="60"/>
      <c r="P26" s="60"/>
      <c r="Q26" s="60"/>
      <c r="R26" s="60"/>
      <c r="S26" s="60"/>
      <c r="T26" s="60"/>
      <c r="U26" s="60"/>
      <c r="V26" s="60"/>
      <c r="W26" s="60"/>
      <c r="X26" s="60"/>
      <c r="Y26" s="60"/>
      <c r="Z26" s="60"/>
    </row>
    <row r="27">
      <c r="A27" s="59" t="s">
        <v>47</v>
      </c>
      <c r="B27" s="60"/>
      <c r="C27" s="60"/>
      <c r="D27" s="60"/>
      <c r="E27" s="60"/>
      <c r="F27" s="60"/>
      <c r="G27" s="60"/>
      <c r="H27" s="60"/>
      <c r="I27" s="60"/>
      <c r="J27" s="60"/>
      <c r="K27" s="60"/>
      <c r="L27" s="60"/>
      <c r="M27" s="60"/>
      <c r="N27" s="60"/>
      <c r="O27" s="60"/>
      <c r="P27" s="60"/>
      <c r="Q27" s="60"/>
      <c r="R27" s="60"/>
      <c r="S27" s="60"/>
      <c r="T27" s="60"/>
      <c r="U27" s="60"/>
      <c r="V27" s="60"/>
      <c r="W27" s="60"/>
      <c r="X27" s="60"/>
      <c r="Y27" s="60"/>
      <c r="Z27" s="60"/>
    </row>
    <row r="28">
      <c r="A28" s="60"/>
      <c r="B28" s="60"/>
      <c r="C28" s="60"/>
      <c r="D28" s="60"/>
      <c r="E28" s="60"/>
      <c r="F28" s="60"/>
      <c r="G28" s="60"/>
      <c r="H28" s="60"/>
      <c r="I28" s="60"/>
      <c r="J28" s="60"/>
      <c r="K28" s="60"/>
      <c r="L28" s="60"/>
      <c r="M28" s="60"/>
      <c r="N28" s="60"/>
      <c r="O28" s="60"/>
      <c r="P28" s="60"/>
      <c r="Q28" s="60"/>
      <c r="R28" s="60"/>
      <c r="S28" s="60"/>
      <c r="T28" s="60"/>
      <c r="U28" s="60"/>
      <c r="V28" s="60"/>
      <c r="W28" s="60"/>
      <c r="X28" s="60"/>
      <c r="Y28" s="60"/>
      <c r="Z28" s="60"/>
    </row>
    <row r="29">
      <c r="A29" s="59" t="s">
        <v>48</v>
      </c>
      <c r="B29" s="60"/>
      <c r="C29" s="60"/>
      <c r="D29" s="60"/>
      <c r="E29" s="60"/>
      <c r="F29" s="60"/>
      <c r="G29" s="60"/>
      <c r="H29" s="60"/>
      <c r="I29" s="60"/>
      <c r="J29" s="60"/>
      <c r="K29" s="60"/>
      <c r="L29" s="60"/>
      <c r="M29" s="60"/>
      <c r="N29" s="60"/>
      <c r="O29" s="60"/>
      <c r="P29" s="60"/>
      <c r="Q29" s="60"/>
      <c r="R29" s="60"/>
      <c r="S29" s="60"/>
      <c r="T29" s="60"/>
      <c r="U29" s="60"/>
      <c r="V29" s="60"/>
      <c r="W29" s="60"/>
      <c r="X29" s="60"/>
      <c r="Y29" s="60"/>
      <c r="Z29" s="60"/>
    </row>
    <row r="30">
      <c r="A30" s="60"/>
      <c r="B30" s="60"/>
      <c r="C30" s="60"/>
      <c r="D30" s="60"/>
      <c r="E30" s="60"/>
      <c r="F30" s="60"/>
      <c r="G30" s="60"/>
      <c r="H30" s="60"/>
      <c r="I30" s="60"/>
      <c r="J30" s="60"/>
      <c r="K30" s="60"/>
      <c r="L30" s="60"/>
      <c r="M30" s="60"/>
      <c r="N30" s="60"/>
      <c r="O30" s="60"/>
      <c r="P30" s="60"/>
      <c r="Q30" s="60"/>
      <c r="R30" s="60"/>
      <c r="S30" s="60"/>
      <c r="T30" s="60"/>
      <c r="U30" s="60"/>
      <c r="V30" s="60"/>
      <c r="W30" s="60"/>
      <c r="X30" s="60"/>
      <c r="Y30" s="60"/>
      <c r="Z30" s="60"/>
    </row>
    <row r="31">
      <c r="A31" s="59" t="s">
        <v>49</v>
      </c>
      <c r="B31" s="60"/>
      <c r="C31" s="60"/>
      <c r="D31" s="60"/>
      <c r="E31" s="60"/>
      <c r="F31" s="60"/>
      <c r="G31" s="60"/>
      <c r="H31" s="60"/>
      <c r="I31" s="60"/>
      <c r="J31" s="60"/>
      <c r="K31" s="60"/>
      <c r="L31" s="60"/>
      <c r="M31" s="60"/>
      <c r="N31" s="60"/>
      <c r="O31" s="60"/>
      <c r="P31" s="60"/>
      <c r="Q31" s="60"/>
      <c r="R31" s="60"/>
      <c r="S31" s="60"/>
      <c r="T31" s="60"/>
      <c r="U31" s="60"/>
      <c r="V31" s="60"/>
      <c r="W31" s="60"/>
      <c r="X31" s="60"/>
      <c r="Y31" s="60"/>
      <c r="Z31" s="60"/>
    </row>
    <row r="32">
      <c r="A32" s="60"/>
      <c r="B32" s="60"/>
      <c r="C32" s="60"/>
      <c r="D32" s="60"/>
      <c r="E32" s="60"/>
      <c r="F32" s="60"/>
      <c r="G32" s="60"/>
      <c r="H32" s="60"/>
      <c r="I32" s="60"/>
      <c r="J32" s="60"/>
      <c r="K32" s="60"/>
      <c r="L32" s="60"/>
      <c r="M32" s="60"/>
      <c r="N32" s="60"/>
      <c r="O32" s="60"/>
      <c r="P32" s="60"/>
      <c r="Q32" s="60"/>
      <c r="R32" s="60"/>
      <c r="S32" s="60"/>
      <c r="T32" s="60"/>
      <c r="U32" s="60"/>
      <c r="V32" s="60"/>
      <c r="W32" s="60"/>
      <c r="X32" s="60"/>
      <c r="Y32" s="60"/>
      <c r="Z32" s="60"/>
    </row>
    <row r="33">
      <c r="A33" s="59" t="s">
        <v>50</v>
      </c>
      <c r="B33" s="60"/>
      <c r="C33" s="60"/>
      <c r="D33" s="60"/>
      <c r="E33" s="60"/>
      <c r="F33" s="60"/>
      <c r="G33" s="60"/>
      <c r="H33" s="60"/>
      <c r="I33" s="60"/>
      <c r="J33" s="60"/>
      <c r="K33" s="60"/>
      <c r="L33" s="60"/>
      <c r="M33" s="60"/>
      <c r="N33" s="60"/>
      <c r="O33" s="60"/>
      <c r="P33" s="60"/>
      <c r="Q33" s="60"/>
      <c r="R33" s="60"/>
      <c r="S33" s="60"/>
      <c r="T33" s="60"/>
      <c r="U33" s="60"/>
      <c r="V33" s="60"/>
      <c r="W33" s="60"/>
      <c r="X33" s="60"/>
      <c r="Y33" s="60"/>
      <c r="Z33" s="60"/>
    </row>
    <row r="34">
      <c r="A34" s="60"/>
      <c r="B34" s="60"/>
      <c r="C34" s="60"/>
      <c r="D34" s="60"/>
      <c r="E34" s="60"/>
      <c r="F34" s="60"/>
      <c r="G34" s="60"/>
      <c r="H34" s="60"/>
      <c r="I34" s="60"/>
      <c r="J34" s="60"/>
      <c r="K34" s="60"/>
      <c r="L34" s="60"/>
      <c r="M34" s="60"/>
      <c r="N34" s="60"/>
      <c r="O34" s="60"/>
      <c r="P34" s="60"/>
      <c r="Q34" s="60"/>
      <c r="R34" s="60"/>
      <c r="S34" s="60"/>
      <c r="T34" s="60"/>
      <c r="U34" s="60"/>
      <c r="V34" s="60"/>
      <c r="W34" s="60"/>
      <c r="X34" s="60"/>
      <c r="Y34" s="60"/>
      <c r="Z34" s="60"/>
    </row>
    <row r="35">
      <c r="A35" s="59" t="s">
        <v>51</v>
      </c>
      <c r="B35" s="60"/>
      <c r="C35" s="60"/>
      <c r="D35" s="60"/>
      <c r="E35" s="60"/>
      <c r="F35" s="60"/>
      <c r="G35" s="60"/>
      <c r="H35" s="60"/>
      <c r="I35" s="60"/>
      <c r="J35" s="60"/>
      <c r="K35" s="60"/>
      <c r="L35" s="60"/>
      <c r="M35" s="60"/>
      <c r="N35" s="60"/>
      <c r="O35" s="60"/>
      <c r="P35" s="60"/>
      <c r="Q35" s="60"/>
      <c r="R35" s="60"/>
      <c r="S35" s="60"/>
      <c r="T35" s="60"/>
      <c r="U35" s="60"/>
      <c r="V35" s="60"/>
      <c r="W35" s="60"/>
      <c r="X35" s="60"/>
      <c r="Y35" s="60"/>
      <c r="Z35" s="60"/>
    </row>
    <row r="36">
      <c r="A36" s="60"/>
      <c r="B36" s="60"/>
      <c r="C36" s="60"/>
      <c r="D36" s="60"/>
      <c r="E36" s="60"/>
      <c r="F36" s="60"/>
      <c r="G36" s="60"/>
      <c r="H36" s="60"/>
      <c r="I36" s="60"/>
      <c r="J36" s="60"/>
      <c r="K36" s="60"/>
      <c r="L36" s="60"/>
      <c r="M36" s="60"/>
      <c r="N36" s="60"/>
      <c r="O36" s="60"/>
      <c r="P36" s="60"/>
      <c r="Q36" s="60"/>
      <c r="R36" s="60"/>
      <c r="S36" s="60"/>
      <c r="T36" s="60"/>
      <c r="U36" s="60"/>
      <c r="V36" s="60"/>
      <c r="W36" s="60"/>
      <c r="X36" s="60"/>
      <c r="Y36" s="60"/>
      <c r="Z36" s="60"/>
    </row>
    <row r="37">
      <c r="A37" s="59" t="s">
        <v>52</v>
      </c>
      <c r="B37" s="60"/>
      <c r="C37" s="60"/>
      <c r="D37" s="60"/>
      <c r="E37" s="60"/>
      <c r="F37" s="60"/>
      <c r="G37" s="60"/>
      <c r="H37" s="60"/>
      <c r="I37" s="60"/>
      <c r="J37" s="60"/>
      <c r="K37" s="60"/>
      <c r="L37" s="60"/>
      <c r="M37" s="60"/>
      <c r="N37" s="60"/>
      <c r="O37" s="60"/>
      <c r="P37" s="60"/>
      <c r="Q37" s="60"/>
      <c r="R37" s="60"/>
      <c r="S37" s="60"/>
      <c r="T37" s="60"/>
      <c r="U37" s="60"/>
      <c r="V37" s="60"/>
      <c r="W37" s="60"/>
      <c r="X37" s="60"/>
      <c r="Y37" s="60"/>
      <c r="Z37" s="60"/>
    </row>
    <row r="38">
      <c r="A38" s="60"/>
      <c r="B38" s="60"/>
      <c r="C38" s="60"/>
      <c r="D38" s="60"/>
      <c r="E38" s="60"/>
      <c r="F38" s="60"/>
      <c r="G38" s="60"/>
      <c r="H38" s="60"/>
      <c r="I38" s="60"/>
      <c r="J38" s="60"/>
      <c r="K38" s="60"/>
      <c r="L38" s="60"/>
      <c r="M38" s="60"/>
      <c r="N38" s="60"/>
      <c r="O38" s="60"/>
      <c r="P38" s="60"/>
      <c r="Q38" s="60"/>
      <c r="R38" s="60"/>
      <c r="S38" s="60"/>
      <c r="T38" s="60"/>
      <c r="U38" s="60"/>
      <c r="V38" s="60"/>
      <c r="W38" s="60"/>
      <c r="X38" s="60"/>
      <c r="Y38" s="60"/>
      <c r="Z38" s="60"/>
    </row>
    <row r="39">
      <c r="A39" s="59" t="s">
        <v>53</v>
      </c>
      <c r="B39" s="60"/>
      <c r="C39" s="60"/>
      <c r="D39" s="60"/>
      <c r="E39" s="60"/>
      <c r="F39" s="60"/>
      <c r="G39" s="60"/>
      <c r="H39" s="60"/>
      <c r="I39" s="60"/>
      <c r="J39" s="60"/>
      <c r="K39" s="60"/>
      <c r="L39" s="60"/>
      <c r="M39" s="60"/>
      <c r="N39" s="60"/>
      <c r="O39" s="60"/>
      <c r="P39" s="60"/>
      <c r="Q39" s="60"/>
      <c r="R39" s="60"/>
      <c r="S39" s="60"/>
      <c r="T39" s="60"/>
      <c r="U39" s="60"/>
      <c r="V39" s="60"/>
      <c r="W39" s="60"/>
      <c r="X39" s="60"/>
      <c r="Y39" s="60"/>
      <c r="Z39" s="60"/>
    </row>
    <row r="40">
      <c r="A40" s="60"/>
      <c r="B40" s="60"/>
      <c r="C40" s="60"/>
      <c r="D40" s="60"/>
      <c r="E40" s="60"/>
      <c r="F40" s="60"/>
      <c r="G40" s="60"/>
      <c r="H40" s="60"/>
      <c r="I40" s="60"/>
      <c r="J40" s="60"/>
      <c r="K40" s="60"/>
      <c r="L40" s="60"/>
      <c r="M40" s="60"/>
      <c r="N40" s="60"/>
      <c r="O40" s="60"/>
      <c r="P40" s="60"/>
      <c r="Q40" s="60"/>
      <c r="R40" s="60"/>
      <c r="S40" s="60"/>
      <c r="T40" s="60"/>
      <c r="U40" s="60"/>
      <c r="V40" s="60"/>
      <c r="W40" s="60"/>
      <c r="X40" s="60"/>
      <c r="Y40" s="60"/>
      <c r="Z40" s="60"/>
    </row>
    <row r="41">
      <c r="A41" s="59" t="s">
        <v>54</v>
      </c>
      <c r="B41" s="60"/>
      <c r="C41" s="60"/>
      <c r="D41" s="60"/>
      <c r="E41" s="60"/>
      <c r="F41" s="60"/>
      <c r="G41" s="60"/>
      <c r="H41" s="60"/>
      <c r="I41" s="60"/>
      <c r="J41" s="60"/>
      <c r="K41" s="60"/>
      <c r="L41" s="60"/>
      <c r="M41" s="60"/>
      <c r="N41" s="60"/>
      <c r="O41" s="60"/>
      <c r="P41" s="60"/>
      <c r="Q41" s="60"/>
      <c r="R41" s="60"/>
      <c r="S41" s="60"/>
      <c r="T41" s="60"/>
      <c r="U41" s="60"/>
      <c r="V41" s="60"/>
      <c r="W41" s="60"/>
      <c r="X41" s="60"/>
      <c r="Y41" s="60"/>
      <c r="Z41" s="60"/>
    </row>
    <row r="42">
      <c r="A42" s="60"/>
      <c r="B42" s="60"/>
      <c r="C42" s="60"/>
      <c r="D42" s="60"/>
      <c r="E42" s="60"/>
      <c r="F42" s="60"/>
      <c r="G42" s="60"/>
      <c r="H42" s="60"/>
      <c r="I42" s="60"/>
      <c r="J42" s="60"/>
      <c r="K42" s="60"/>
      <c r="L42" s="60"/>
      <c r="M42" s="60"/>
      <c r="N42" s="60"/>
      <c r="O42" s="60"/>
      <c r="P42" s="60"/>
      <c r="Q42" s="60"/>
      <c r="R42" s="60"/>
      <c r="S42" s="60"/>
      <c r="T42" s="60"/>
      <c r="U42" s="60"/>
      <c r="V42" s="60"/>
      <c r="W42" s="60"/>
      <c r="X42" s="60"/>
      <c r="Y42" s="60"/>
      <c r="Z42" s="60"/>
    </row>
    <row r="43">
      <c r="A43" s="59" t="s">
        <v>55</v>
      </c>
      <c r="B43" s="60"/>
      <c r="C43" s="60"/>
      <c r="D43" s="60"/>
      <c r="E43" s="60"/>
      <c r="F43" s="60"/>
      <c r="G43" s="60"/>
      <c r="H43" s="60"/>
      <c r="I43" s="60"/>
      <c r="J43" s="60"/>
      <c r="K43" s="60"/>
      <c r="L43" s="60"/>
      <c r="M43" s="60"/>
      <c r="N43" s="60"/>
      <c r="O43" s="60"/>
      <c r="P43" s="60"/>
      <c r="Q43" s="60"/>
      <c r="R43" s="60"/>
      <c r="S43" s="60"/>
      <c r="T43" s="60"/>
      <c r="U43" s="60"/>
      <c r="V43" s="60"/>
      <c r="W43" s="60"/>
      <c r="X43" s="60"/>
      <c r="Y43" s="60"/>
      <c r="Z43" s="60"/>
    </row>
    <row r="44">
      <c r="A44" s="60"/>
      <c r="B44" s="60"/>
      <c r="C44" s="60"/>
      <c r="D44" s="60"/>
      <c r="E44" s="60"/>
      <c r="F44" s="60"/>
      <c r="G44" s="60"/>
      <c r="H44" s="60"/>
      <c r="I44" s="60"/>
      <c r="J44" s="60"/>
      <c r="K44" s="60"/>
      <c r="L44" s="60"/>
      <c r="M44" s="60"/>
      <c r="N44" s="60"/>
      <c r="O44" s="60"/>
      <c r="P44" s="60"/>
      <c r="Q44" s="60"/>
      <c r="R44" s="60"/>
      <c r="S44" s="60"/>
      <c r="T44" s="60"/>
      <c r="U44" s="60"/>
      <c r="V44" s="60"/>
      <c r="W44" s="60"/>
      <c r="X44" s="60"/>
      <c r="Y44" s="60"/>
      <c r="Z44" s="60"/>
    </row>
    <row r="45">
      <c r="A45" s="60"/>
      <c r="B45" s="60"/>
      <c r="C45" s="60"/>
      <c r="D45" s="60"/>
      <c r="E45" s="60"/>
      <c r="F45" s="60"/>
      <c r="G45" s="60"/>
      <c r="H45" s="60"/>
      <c r="I45" s="60"/>
      <c r="J45" s="60"/>
      <c r="K45" s="60"/>
      <c r="L45" s="60"/>
      <c r="M45" s="60"/>
      <c r="N45" s="60"/>
      <c r="O45" s="60"/>
      <c r="P45" s="60"/>
      <c r="Q45" s="60"/>
      <c r="R45" s="60"/>
      <c r="S45" s="60"/>
      <c r="T45" s="60"/>
      <c r="U45" s="60"/>
      <c r="V45" s="60"/>
      <c r="W45" s="60"/>
      <c r="X45" s="60"/>
      <c r="Y45" s="60"/>
      <c r="Z45" s="60"/>
    </row>
    <row r="46">
      <c r="A46" s="60"/>
      <c r="B46" s="60"/>
      <c r="C46" s="60"/>
      <c r="D46" s="60"/>
      <c r="E46" s="60"/>
      <c r="F46" s="60"/>
      <c r="G46" s="60"/>
      <c r="H46" s="60"/>
      <c r="I46" s="60"/>
      <c r="J46" s="60"/>
      <c r="K46" s="60"/>
      <c r="L46" s="60"/>
      <c r="M46" s="60"/>
      <c r="N46" s="60"/>
      <c r="O46" s="60"/>
      <c r="P46" s="60"/>
      <c r="Q46" s="60"/>
      <c r="R46" s="60"/>
      <c r="S46" s="60"/>
      <c r="T46" s="60"/>
      <c r="U46" s="60"/>
      <c r="V46" s="60"/>
      <c r="W46" s="60"/>
      <c r="X46" s="60"/>
      <c r="Y46" s="60"/>
      <c r="Z46" s="60"/>
    </row>
    <row r="47">
      <c r="A47" s="60"/>
      <c r="B47" s="60"/>
      <c r="C47" s="60"/>
      <c r="D47" s="60"/>
      <c r="E47" s="60"/>
      <c r="F47" s="60"/>
      <c r="G47" s="60"/>
      <c r="H47" s="60"/>
      <c r="I47" s="60"/>
      <c r="J47" s="60"/>
      <c r="K47" s="60"/>
      <c r="L47" s="60"/>
      <c r="M47" s="60"/>
      <c r="N47" s="60"/>
      <c r="O47" s="60"/>
      <c r="P47" s="60"/>
      <c r="Q47" s="60"/>
      <c r="R47" s="60"/>
      <c r="S47" s="60"/>
      <c r="T47" s="60"/>
      <c r="U47" s="60"/>
      <c r="V47" s="60"/>
      <c r="W47" s="60"/>
      <c r="X47" s="60"/>
      <c r="Y47" s="60"/>
      <c r="Z47" s="60"/>
    </row>
    <row r="48">
      <c r="A48" s="60"/>
      <c r="B48" s="60"/>
      <c r="C48" s="60"/>
      <c r="D48" s="60"/>
      <c r="E48" s="60"/>
      <c r="F48" s="60"/>
      <c r="G48" s="60"/>
      <c r="H48" s="60"/>
      <c r="I48" s="60"/>
      <c r="J48" s="60"/>
      <c r="K48" s="60"/>
      <c r="L48" s="60"/>
      <c r="M48" s="60"/>
      <c r="N48" s="60"/>
      <c r="O48" s="60"/>
      <c r="P48" s="60"/>
      <c r="Q48" s="60"/>
      <c r="R48" s="60"/>
      <c r="S48" s="60"/>
      <c r="T48" s="60"/>
      <c r="U48" s="60"/>
      <c r="V48" s="60"/>
      <c r="W48" s="60"/>
      <c r="X48" s="60"/>
      <c r="Y48" s="60"/>
      <c r="Z48" s="60"/>
    </row>
    <row r="49">
      <c r="A49" s="60"/>
      <c r="B49" s="60"/>
      <c r="C49" s="60"/>
      <c r="D49" s="60"/>
      <c r="E49" s="60"/>
      <c r="F49" s="60"/>
      <c r="G49" s="60"/>
      <c r="H49" s="60"/>
      <c r="I49" s="60"/>
      <c r="J49" s="60"/>
      <c r="K49" s="60"/>
      <c r="L49" s="60"/>
      <c r="M49" s="60"/>
      <c r="N49" s="60"/>
      <c r="O49" s="60"/>
      <c r="P49" s="60"/>
      <c r="Q49" s="60"/>
      <c r="R49" s="60"/>
      <c r="S49" s="60"/>
      <c r="T49" s="60"/>
      <c r="U49" s="60"/>
      <c r="V49" s="60"/>
      <c r="W49" s="60"/>
      <c r="X49" s="60"/>
      <c r="Y49" s="60"/>
      <c r="Z49" s="60"/>
    </row>
    <row r="50">
      <c r="A50" s="60"/>
      <c r="B50" s="60"/>
      <c r="C50" s="60"/>
      <c r="D50" s="60"/>
      <c r="E50" s="60"/>
      <c r="F50" s="60"/>
      <c r="G50" s="60"/>
      <c r="H50" s="60"/>
      <c r="I50" s="60"/>
      <c r="J50" s="60"/>
      <c r="K50" s="60"/>
      <c r="L50" s="60"/>
      <c r="M50" s="60"/>
      <c r="N50" s="60"/>
      <c r="O50" s="60"/>
      <c r="P50" s="60"/>
      <c r="Q50" s="60"/>
      <c r="R50" s="60"/>
      <c r="S50" s="60"/>
      <c r="T50" s="60"/>
      <c r="U50" s="60"/>
      <c r="V50" s="60"/>
      <c r="W50" s="60"/>
      <c r="X50" s="60"/>
      <c r="Y50" s="60"/>
      <c r="Z50" s="60"/>
    </row>
    <row r="51">
      <c r="A51" s="60"/>
      <c r="B51" s="60"/>
      <c r="C51" s="60"/>
      <c r="D51" s="60"/>
      <c r="E51" s="60"/>
      <c r="F51" s="60"/>
      <c r="G51" s="60"/>
      <c r="H51" s="60"/>
      <c r="I51" s="60"/>
      <c r="J51" s="60"/>
      <c r="K51" s="60"/>
      <c r="L51" s="60"/>
      <c r="M51" s="60"/>
      <c r="N51" s="60"/>
      <c r="O51" s="60"/>
      <c r="P51" s="60"/>
      <c r="Q51" s="60"/>
      <c r="R51" s="60"/>
      <c r="S51" s="60"/>
      <c r="T51" s="60"/>
      <c r="U51" s="60"/>
      <c r="V51" s="60"/>
      <c r="W51" s="60"/>
      <c r="X51" s="60"/>
      <c r="Y51" s="60"/>
      <c r="Z51" s="60"/>
    </row>
    <row r="52">
      <c r="A52" s="60"/>
      <c r="B52" s="60"/>
      <c r="C52" s="60"/>
      <c r="D52" s="60"/>
      <c r="E52" s="60"/>
      <c r="F52" s="60"/>
      <c r="G52" s="60"/>
      <c r="H52" s="60"/>
      <c r="I52" s="60"/>
      <c r="J52" s="60"/>
      <c r="K52" s="60"/>
      <c r="L52" s="60"/>
      <c r="M52" s="60"/>
      <c r="N52" s="60"/>
      <c r="O52" s="60"/>
      <c r="P52" s="60"/>
      <c r="Q52" s="60"/>
      <c r="R52" s="60"/>
      <c r="S52" s="60"/>
      <c r="T52" s="60"/>
      <c r="U52" s="60"/>
      <c r="V52" s="60"/>
      <c r="W52" s="60"/>
      <c r="X52" s="60"/>
      <c r="Y52" s="60"/>
      <c r="Z52" s="60"/>
    </row>
    <row r="53">
      <c r="A53" s="60"/>
      <c r="B53" s="60"/>
      <c r="C53" s="60"/>
      <c r="D53" s="60"/>
      <c r="E53" s="60"/>
      <c r="F53" s="60"/>
      <c r="G53" s="60"/>
      <c r="H53" s="60"/>
      <c r="I53" s="60"/>
      <c r="J53" s="60"/>
      <c r="K53" s="60"/>
      <c r="L53" s="60"/>
      <c r="M53" s="60"/>
      <c r="N53" s="60"/>
      <c r="O53" s="60"/>
      <c r="P53" s="60"/>
      <c r="Q53" s="60"/>
      <c r="R53" s="60"/>
      <c r="S53" s="60"/>
      <c r="T53" s="60"/>
      <c r="U53" s="60"/>
      <c r="V53" s="60"/>
      <c r="W53" s="60"/>
      <c r="X53" s="60"/>
      <c r="Y53" s="60"/>
      <c r="Z53" s="60"/>
    </row>
    <row r="54">
      <c r="A54" s="60"/>
      <c r="B54" s="60"/>
      <c r="C54" s="60"/>
      <c r="D54" s="60"/>
      <c r="E54" s="60"/>
      <c r="F54" s="60"/>
      <c r="G54" s="60"/>
      <c r="H54" s="60"/>
      <c r="I54" s="60"/>
      <c r="J54" s="60"/>
      <c r="K54" s="60"/>
      <c r="L54" s="60"/>
      <c r="M54" s="60"/>
      <c r="N54" s="60"/>
      <c r="O54" s="60"/>
      <c r="P54" s="60"/>
      <c r="Q54" s="60"/>
      <c r="R54" s="60"/>
      <c r="S54" s="60"/>
      <c r="T54" s="60"/>
      <c r="U54" s="60"/>
      <c r="V54" s="60"/>
      <c r="W54" s="60"/>
      <c r="X54" s="60"/>
      <c r="Y54" s="60"/>
      <c r="Z54" s="60"/>
    </row>
    <row r="55">
      <c r="A55" s="60"/>
      <c r="B55" s="60"/>
      <c r="C55" s="60"/>
      <c r="D55" s="60"/>
      <c r="E55" s="60"/>
      <c r="F55" s="60"/>
      <c r="G55" s="60"/>
      <c r="H55" s="60"/>
      <c r="I55" s="60"/>
      <c r="J55" s="60"/>
      <c r="K55" s="60"/>
      <c r="L55" s="60"/>
      <c r="M55" s="60"/>
      <c r="N55" s="60"/>
      <c r="O55" s="60"/>
      <c r="P55" s="60"/>
      <c r="Q55" s="60"/>
      <c r="R55" s="60"/>
      <c r="S55" s="60"/>
      <c r="T55" s="60"/>
      <c r="U55" s="60"/>
      <c r="V55" s="60"/>
      <c r="W55" s="60"/>
      <c r="X55" s="60"/>
      <c r="Y55" s="60"/>
      <c r="Z55" s="60"/>
    </row>
    <row r="56">
      <c r="A56" s="60"/>
      <c r="B56" s="60"/>
      <c r="C56" s="60"/>
      <c r="D56" s="60"/>
      <c r="E56" s="60"/>
      <c r="F56" s="60"/>
      <c r="G56" s="60"/>
      <c r="H56" s="60"/>
      <c r="I56" s="60"/>
      <c r="J56" s="60"/>
      <c r="K56" s="60"/>
      <c r="L56" s="60"/>
      <c r="M56" s="60"/>
      <c r="N56" s="60"/>
      <c r="O56" s="60"/>
      <c r="P56" s="60"/>
      <c r="Q56" s="60"/>
      <c r="R56" s="60"/>
      <c r="S56" s="60"/>
      <c r="T56" s="60"/>
      <c r="U56" s="60"/>
      <c r="V56" s="60"/>
      <c r="W56" s="60"/>
      <c r="X56" s="60"/>
      <c r="Y56" s="60"/>
      <c r="Z56" s="60"/>
    </row>
    <row r="57">
      <c r="A57" s="60"/>
      <c r="B57" s="60"/>
      <c r="C57" s="60"/>
      <c r="D57" s="60"/>
      <c r="E57" s="60"/>
      <c r="F57" s="60"/>
      <c r="G57" s="60"/>
      <c r="H57" s="60"/>
      <c r="I57" s="60"/>
      <c r="J57" s="60"/>
      <c r="K57" s="60"/>
      <c r="L57" s="60"/>
      <c r="M57" s="60"/>
      <c r="N57" s="60"/>
      <c r="O57" s="60"/>
      <c r="P57" s="60"/>
      <c r="Q57" s="60"/>
      <c r="R57" s="60"/>
      <c r="S57" s="60"/>
      <c r="T57" s="60"/>
      <c r="U57" s="60"/>
      <c r="V57" s="60"/>
      <c r="W57" s="60"/>
      <c r="X57" s="60"/>
      <c r="Y57" s="60"/>
      <c r="Z57" s="60"/>
    </row>
    <row r="58">
      <c r="A58" s="60"/>
      <c r="B58" s="60"/>
      <c r="C58" s="60"/>
      <c r="D58" s="60"/>
      <c r="E58" s="60"/>
      <c r="F58" s="60"/>
      <c r="G58" s="60"/>
      <c r="H58" s="60"/>
      <c r="I58" s="60"/>
      <c r="J58" s="60"/>
      <c r="K58" s="60"/>
      <c r="L58" s="60"/>
      <c r="M58" s="60"/>
      <c r="N58" s="60"/>
      <c r="O58" s="60"/>
      <c r="P58" s="60"/>
      <c r="Q58" s="60"/>
      <c r="R58" s="60"/>
      <c r="S58" s="60"/>
      <c r="T58" s="60"/>
      <c r="U58" s="60"/>
      <c r="V58" s="60"/>
      <c r="W58" s="60"/>
      <c r="X58" s="60"/>
      <c r="Y58" s="60"/>
      <c r="Z58" s="60"/>
    </row>
    <row r="59">
      <c r="A59" s="60"/>
      <c r="B59" s="60"/>
      <c r="C59" s="60"/>
      <c r="D59" s="60"/>
      <c r="E59" s="60"/>
      <c r="F59" s="60"/>
      <c r="G59" s="60"/>
      <c r="H59" s="60"/>
      <c r="I59" s="60"/>
      <c r="J59" s="60"/>
      <c r="K59" s="60"/>
      <c r="L59" s="60"/>
      <c r="M59" s="60"/>
      <c r="N59" s="60"/>
      <c r="O59" s="60"/>
      <c r="P59" s="60"/>
      <c r="Q59" s="60"/>
      <c r="R59" s="60"/>
      <c r="S59" s="60"/>
      <c r="T59" s="60"/>
      <c r="U59" s="60"/>
      <c r="V59" s="60"/>
      <c r="W59" s="60"/>
      <c r="X59" s="60"/>
      <c r="Y59" s="60"/>
      <c r="Z59" s="60"/>
    </row>
    <row r="60">
      <c r="A60" s="60"/>
      <c r="B60" s="60"/>
      <c r="C60" s="60"/>
      <c r="D60" s="60"/>
      <c r="E60" s="60"/>
      <c r="F60" s="60"/>
      <c r="G60" s="60"/>
      <c r="H60" s="60"/>
      <c r="I60" s="60"/>
      <c r="J60" s="60"/>
      <c r="K60" s="60"/>
      <c r="L60" s="60"/>
      <c r="M60" s="60"/>
      <c r="N60" s="60"/>
      <c r="O60" s="60"/>
      <c r="P60" s="60"/>
      <c r="Q60" s="60"/>
      <c r="R60" s="60"/>
      <c r="S60" s="60"/>
      <c r="T60" s="60"/>
      <c r="U60" s="60"/>
      <c r="V60" s="60"/>
      <c r="W60" s="60"/>
      <c r="X60" s="60"/>
      <c r="Y60" s="60"/>
      <c r="Z60" s="60"/>
    </row>
    <row r="61">
      <c r="A61" s="60"/>
      <c r="B61" s="60"/>
      <c r="C61" s="60"/>
      <c r="D61" s="60"/>
      <c r="E61" s="60"/>
      <c r="F61" s="60"/>
      <c r="G61" s="60"/>
      <c r="H61" s="60"/>
      <c r="I61" s="60"/>
      <c r="J61" s="60"/>
      <c r="K61" s="60"/>
      <c r="L61" s="60"/>
      <c r="M61" s="60"/>
      <c r="N61" s="60"/>
      <c r="O61" s="60"/>
      <c r="P61" s="60"/>
      <c r="Q61" s="60"/>
      <c r="R61" s="60"/>
      <c r="S61" s="60"/>
      <c r="T61" s="60"/>
      <c r="U61" s="60"/>
      <c r="V61" s="60"/>
      <c r="W61" s="60"/>
      <c r="X61" s="60"/>
      <c r="Y61" s="60"/>
      <c r="Z61" s="60"/>
    </row>
    <row r="62">
      <c r="A62" s="60"/>
      <c r="B62" s="60"/>
      <c r="C62" s="60"/>
      <c r="D62" s="60"/>
      <c r="E62" s="60"/>
      <c r="F62" s="60"/>
      <c r="G62" s="60"/>
      <c r="H62" s="60"/>
      <c r="I62" s="60"/>
      <c r="J62" s="60"/>
      <c r="K62" s="60"/>
      <c r="L62" s="60"/>
      <c r="M62" s="60"/>
      <c r="N62" s="60"/>
      <c r="O62" s="60"/>
      <c r="P62" s="60"/>
      <c r="Q62" s="60"/>
      <c r="R62" s="60"/>
      <c r="S62" s="60"/>
      <c r="T62" s="60"/>
      <c r="U62" s="60"/>
      <c r="V62" s="60"/>
      <c r="W62" s="60"/>
      <c r="X62" s="60"/>
      <c r="Y62" s="60"/>
      <c r="Z62" s="60"/>
    </row>
    <row r="63">
      <c r="A63" s="60"/>
      <c r="B63" s="60"/>
      <c r="C63" s="60"/>
      <c r="D63" s="60"/>
      <c r="E63" s="60"/>
      <c r="F63" s="60"/>
      <c r="G63" s="60"/>
      <c r="H63" s="60"/>
      <c r="I63" s="60"/>
      <c r="J63" s="60"/>
      <c r="K63" s="60"/>
      <c r="L63" s="60"/>
      <c r="M63" s="60"/>
      <c r="N63" s="60"/>
      <c r="O63" s="60"/>
      <c r="P63" s="60"/>
      <c r="Q63" s="60"/>
      <c r="R63" s="60"/>
      <c r="S63" s="60"/>
      <c r="T63" s="60"/>
      <c r="U63" s="60"/>
      <c r="V63" s="60"/>
      <c r="W63" s="60"/>
      <c r="X63" s="60"/>
      <c r="Y63" s="60"/>
      <c r="Z63" s="60"/>
    </row>
    <row r="64">
      <c r="A64" s="60"/>
      <c r="B64" s="60"/>
      <c r="C64" s="60"/>
      <c r="D64" s="60"/>
      <c r="E64" s="60"/>
      <c r="F64" s="60"/>
      <c r="G64" s="60"/>
      <c r="H64" s="60"/>
      <c r="I64" s="60"/>
      <c r="J64" s="60"/>
      <c r="K64" s="60"/>
      <c r="L64" s="60"/>
      <c r="M64" s="60"/>
      <c r="N64" s="60"/>
      <c r="O64" s="60"/>
      <c r="P64" s="60"/>
      <c r="Q64" s="60"/>
      <c r="R64" s="60"/>
      <c r="S64" s="60"/>
      <c r="T64" s="60"/>
      <c r="U64" s="60"/>
      <c r="V64" s="60"/>
      <c r="W64" s="60"/>
      <c r="X64" s="60"/>
      <c r="Y64" s="60"/>
      <c r="Z64" s="60"/>
    </row>
    <row r="65">
      <c r="A65" s="60"/>
      <c r="B65" s="60"/>
      <c r="C65" s="60"/>
      <c r="D65" s="60"/>
      <c r="E65" s="60"/>
      <c r="F65" s="60"/>
      <c r="G65" s="60"/>
      <c r="H65" s="60"/>
      <c r="I65" s="60"/>
      <c r="J65" s="60"/>
      <c r="K65" s="60"/>
      <c r="L65" s="60"/>
      <c r="M65" s="60"/>
      <c r="N65" s="60"/>
      <c r="O65" s="60"/>
      <c r="P65" s="60"/>
      <c r="Q65" s="60"/>
      <c r="R65" s="60"/>
      <c r="S65" s="60"/>
      <c r="T65" s="60"/>
      <c r="U65" s="60"/>
      <c r="V65" s="60"/>
      <c r="W65" s="60"/>
      <c r="X65" s="60"/>
      <c r="Y65" s="60"/>
      <c r="Z65" s="60"/>
    </row>
    <row r="66">
      <c r="A66" s="60"/>
      <c r="B66" s="60"/>
      <c r="C66" s="60"/>
      <c r="D66" s="60"/>
      <c r="E66" s="60"/>
      <c r="F66" s="60"/>
      <c r="G66" s="60"/>
      <c r="H66" s="60"/>
      <c r="I66" s="60"/>
      <c r="J66" s="60"/>
      <c r="K66" s="60"/>
      <c r="L66" s="60"/>
      <c r="M66" s="60"/>
      <c r="N66" s="60"/>
      <c r="O66" s="60"/>
      <c r="P66" s="60"/>
      <c r="Q66" s="60"/>
      <c r="R66" s="60"/>
      <c r="S66" s="60"/>
      <c r="T66" s="60"/>
      <c r="U66" s="60"/>
      <c r="V66" s="60"/>
      <c r="W66" s="60"/>
      <c r="X66" s="60"/>
      <c r="Y66" s="60"/>
      <c r="Z66" s="60"/>
    </row>
    <row r="67">
      <c r="A67" s="60"/>
      <c r="B67" s="60"/>
      <c r="C67" s="60"/>
      <c r="D67" s="60"/>
      <c r="E67" s="60"/>
      <c r="F67" s="60"/>
      <c r="G67" s="60"/>
      <c r="H67" s="60"/>
      <c r="I67" s="60"/>
      <c r="J67" s="60"/>
      <c r="K67" s="60"/>
      <c r="L67" s="60"/>
      <c r="M67" s="60"/>
      <c r="N67" s="60"/>
      <c r="O67" s="60"/>
      <c r="P67" s="60"/>
      <c r="Q67" s="60"/>
      <c r="R67" s="60"/>
      <c r="S67" s="60"/>
      <c r="T67" s="60"/>
      <c r="U67" s="60"/>
      <c r="V67" s="60"/>
      <c r="W67" s="60"/>
      <c r="X67" s="60"/>
      <c r="Y67" s="60"/>
      <c r="Z67" s="60"/>
    </row>
    <row r="68">
      <c r="A68" s="60"/>
      <c r="B68" s="60"/>
      <c r="C68" s="60"/>
      <c r="D68" s="60"/>
      <c r="E68" s="60"/>
      <c r="F68" s="60"/>
      <c r="G68" s="60"/>
      <c r="H68" s="60"/>
      <c r="I68" s="60"/>
      <c r="J68" s="60"/>
      <c r="K68" s="60"/>
      <c r="L68" s="60"/>
      <c r="M68" s="60"/>
      <c r="N68" s="60"/>
      <c r="O68" s="60"/>
      <c r="P68" s="60"/>
      <c r="Q68" s="60"/>
      <c r="R68" s="60"/>
      <c r="S68" s="60"/>
      <c r="T68" s="60"/>
      <c r="U68" s="60"/>
      <c r="V68" s="60"/>
      <c r="W68" s="60"/>
      <c r="X68" s="60"/>
      <c r="Y68" s="60"/>
      <c r="Z68" s="60"/>
    </row>
    <row r="69">
      <c r="A69" s="60"/>
      <c r="B69" s="60"/>
      <c r="C69" s="60"/>
      <c r="D69" s="60"/>
      <c r="E69" s="60"/>
      <c r="F69" s="60"/>
      <c r="G69" s="60"/>
      <c r="H69" s="60"/>
      <c r="I69" s="60"/>
      <c r="J69" s="60"/>
      <c r="K69" s="60"/>
      <c r="L69" s="60"/>
      <c r="M69" s="60"/>
      <c r="N69" s="60"/>
      <c r="O69" s="60"/>
      <c r="P69" s="60"/>
      <c r="Q69" s="60"/>
      <c r="R69" s="60"/>
      <c r="S69" s="60"/>
      <c r="T69" s="60"/>
      <c r="U69" s="60"/>
      <c r="V69" s="60"/>
      <c r="W69" s="60"/>
      <c r="X69" s="60"/>
      <c r="Y69" s="60"/>
      <c r="Z69" s="60"/>
    </row>
    <row r="70">
      <c r="A70" s="60"/>
      <c r="B70" s="60"/>
      <c r="C70" s="60"/>
      <c r="D70" s="60"/>
      <c r="E70" s="60"/>
      <c r="F70" s="60"/>
      <c r="G70" s="60"/>
      <c r="H70" s="60"/>
      <c r="I70" s="60"/>
      <c r="J70" s="60"/>
      <c r="K70" s="60"/>
      <c r="L70" s="60"/>
      <c r="M70" s="60"/>
      <c r="N70" s="60"/>
      <c r="O70" s="60"/>
      <c r="P70" s="60"/>
      <c r="Q70" s="60"/>
      <c r="R70" s="60"/>
      <c r="S70" s="60"/>
      <c r="T70" s="60"/>
      <c r="U70" s="60"/>
      <c r="V70" s="60"/>
      <c r="W70" s="60"/>
      <c r="X70" s="60"/>
      <c r="Y70" s="60"/>
      <c r="Z70" s="60"/>
    </row>
    <row r="71">
      <c r="A71" s="60"/>
      <c r="B71" s="60"/>
      <c r="C71" s="60"/>
      <c r="D71" s="60"/>
      <c r="E71" s="60"/>
      <c r="F71" s="60"/>
      <c r="G71" s="60"/>
      <c r="H71" s="60"/>
      <c r="I71" s="60"/>
      <c r="J71" s="60"/>
      <c r="K71" s="60"/>
      <c r="L71" s="60"/>
      <c r="M71" s="60"/>
      <c r="N71" s="60"/>
      <c r="O71" s="60"/>
      <c r="P71" s="60"/>
      <c r="Q71" s="60"/>
      <c r="R71" s="60"/>
      <c r="S71" s="60"/>
      <c r="T71" s="60"/>
      <c r="U71" s="60"/>
      <c r="V71" s="60"/>
      <c r="W71" s="60"/>
      <c r="X71" s="60"/>
      <c r="Y71" s="60"/>
      <c r="Z71" s="60"/>
    </row>
    <row r="72">
      <c r="A72" s="60"/>
      <c r="B72" s="60"/>
      <c r="C72" s="60"/>
      <c r="D72" s="60"/>
      <c r="E72" s="60"/>
      <c r="F72" s="60"/>
      <c r="G72" s="60"/>
      <c r="H72" s="60"/>
      <c r="I72" s="60"/>
      <c r="J72" s="60"/>
      <c r="K72" s="60"/>
      <c r="L72" s="60"/>
      <c r="M72" s="60"/>
      <c r="N72" s="60"/>
      <c r="O72" s="60"/>
      <c r="P72" s="60"/>
      <c r="Q72" s="60"/>
      <c r="R72" s="60"/>
      <c r="S72" s="60"/>
      <c r="T72" s="60"/>
      <c r="U72" s="60"/>
      <c r="V72" s="60"/>
      <c r="W72" s="60"/>
      <c r="X72" s="60"/>
      <c r="Y72" s="60"/>
      <c r="Z72" s="60"/>
    </row>
    <row r="73">
      <c r="A73" s="60"/>
      <c r="B73" s="60"/>
      <c r="C73" s="60"/>
      <c r="D73" s="60"/>
      <c r="E73" s="60"/>
      <c r="F73" s="60"/>
      <c r="G73" s="60"/>
      <c r="H73" s="60"/>
      <c r="I73" s="60"/>
      <c r="J73" s="60"/>
      <c r="K73" s="60"/>
      <c r="L73" s="60"/>
      <c r="M73" s="60"/>
      <c r="N73" s="60"/>
      <c r="O73" s="60"/>
      <c r="P73" s="60"/>
      <c r="Q73" s="60"/>
      <c r="R73" s="60"/>
      <c r="S73" s="60"/>
      <c r="T73" s="60"/>
      <c r="U73" s="60"/>
      <c r="V73" s="60"/>
      <c r="W73" s="60"/>
      <c r="X73" s="60"/>
      <c r="Y73" s="60"/>
      <c r="Z73" s="60"/>
    </row>
    <row r="74">
      <c r="A74" s="60"/>
      <c r="B74" s="60"/>
      <c r="C74" s="60"/>
      <c r="D74" s="60"/>
      <c r="E74" s="60"/>
      <c r="F74" s="60"/>
      <c r="G74" s="60"/>
      <c r="H74" s="60"/>
      <c r="I74" s="60"/>
      <c r="J74" s="60"/>
      <c r="K74" s="60"/>
      <c r="L74" s="60"/>
      <c r="M74" s="60"/>
      <c r="N74" s="60"/>
      <c r="O74" s="60"/>
      <c r="P74" s="60"/>
      <c r="Q74" s="60"/>
      <c r="R74" s="60"/>
      <c r="S74" s="60"/>
      <c r="T74" s="60"/>
      <c r="U74" s="60"/>
      <c r="V74" s="60"/>
      <c r="W74" s="60"/>
      <c r="X74" s="60"/>
      <c r="Y74" s="60"/>
      <c r="Z74" s="60"/>
    </row>
    <row r="75">
      <c r="A75" s="60"/>
      <c r="B75" s="60"/>
      <c r="C75" s="60"/>
      <c r="D75" s="60"/>
      <c r="E75" s="60"/>
      <c r="F75" s="60"/>
      <c r="G75" s="60"/>
      <c r="H75" s="60"/>
      <c r="I75" s="60"/>
      <c r="J75" s="60"/>
      <c r="K75" s="60"/>
      <c r="L75" s="60"/>
      <c r="M75" s="60"/>
      <c r="N75" s="60"/>
      <c r="O75" s="60"/>
      <c r="P75" s="60"/>
      <c r="Q75" s="60"/>
      <c r="R75" s="60"/>
      <c r="S75" s="60"/>
      <c r="T75" s="60"/>
      <c r="U75" s="60"/>
      <c r="V75" s="60"/>
      <c r="W75" s="60"/>
      <c r="X75" s="60"/>
      <c r="Y75" s="60"/>
      <c r="Z75" s="60"/>
    </row>
    <row r="76">
      <c r="A76" s="60"/>
      <c r="B76" s="60"/>
      <c r="C76" s="60"/>
      <c r="D76" s="60"/>
      <c r="E76" s="60"/>
      <c r="F76" s="60"/>
      <c r="G76" s="60"/>
      <c r="H76" s="60"/>
      <c r="I76" s="60"/>
      <c r="J76" s="60"/>
      <c r="K76" s="60"/>
      <c r="L76" s="60"/>
      <c r="M76" s="60"/>
      <c r="N76" s="60"/>
      <c r="O76" s="60"/>
      <c r="P76" s="60"/>
      <c r="Q76" s="60"/>
      <c r="R76" s="60"/>
      <c r="S76" s="60"/>
      <c r="T76" s="60"/>
      <c r="U76" s="60"/>
      <c r="V76" s="60"/>
      <c r="W76" s="60"/>
      <c r="X76" s="60"/>
      <c r="Y76" s="60"/>
      <c r="Z76" s="60"/>
    </row>
    <row r="77">
      <c r="A77" s="60"/>
      <c r="B77" s="60"/>
      <c r="C77" s="60"/>
      <c r="D77" s="60"/>
      <c r="E77" s="60"/>
      <c r="F77" s="60"/>
      <c r="G77" s="60"/>
      <c r="H77" s="60"/>
      <c r="I77" s="60"/>
      <c r="J77" s="60"/>
      <c r="K77" s="60"/>
      <c r="L77" s="60"/>
      <c r="M77" s="60"/>
      <c r="N77" s="60"/>
      <c r="O77" s="60"/>
      <c r="P77" s="60"/>
      <c r="Q77" s="60"/>
      <c r="R77" s="60"/>
      <c r="S77" s="60"/>
      <c r="T77" s="60"/>
      <c r="U77" s="60"/>
      <c r="V77" s="60"/>
      <c r="W77" s="60"/>
      <c r="X77" s="60"/>
      <c r="Y77" s="60"/>
      <c r="Z77" s="60"/>
    </row>
    <row r="78">
      <c r="A78" s="60"/>
      <c r="B78" s="60"/>
      <c r="C78" s="60"/>
      <c r="D78" s="60"/>
      <c r="E78" s="60"/>
      <c r="F78" s="60"/>
      <c r="G78" s="60"/>
      <c r="H78" s="60"/>
      <c r="I78" s="60"/>
      <c r="J78" s="60"/>
      <c r="K78" s="60"/>
      <c r="L78" s="60"/>
      <c r="M78" s="60"/>
      <c r="N78" s="60"/>
      <c r="O78" s="60"/>
      <c r="P78" s="60"/>
      <c r="Q78" s="60"/>
      <c r="R78" s="60"/>
      <c r="S78" s="60"/>
      <c r="T78" s="60"/>
      <c r="U78" s="60"/>
      <c r="V78" s="60"/>
      <c r="W78" s="60"/>
      <c r="X78" s="60"/>
      <c r="Y78" s="60"/>
      <c r="Z78" s="60"/>
    </row>
    <row r="79">
      <c r="A79" s="60"/>
      <c r="B79" s="60"/>
      <c r="C79" s="60"/>
      <c r="D79" s="60"/>
      <c r="E79" s="60"/>
      <c r="F79" s="60"/>
      <c r="G79" s="60"/>
      <c r="H79" s="60"/>
      <c r="I79" s="60"/>
      <c r="J79" s="60"/>
      <c r="K79" s="60"/>
      <c r="L79" s="60"/>
      <c r="M79" s="60"/>
      <c r="N79" s="60"/>
      <c r="O79" s="60"/>
      <c r="P79" s="60"/>
      <c r="Q79" s="60"/>
      <c r="R79" s="60"/>
      <c r="S79" s="60"/>
      <c r="T79" s="60"/>
      <c r="U79" s="60"/>
      <c r="V79" s="60"/>
      <c r="W79" s="60"/>
      <c r="X79" s="60"/>
      <c r="Y79" s="60"/>
      <c r="Z79" s="60"/>
    </row>
    <row r="80">
      <c r="A80" s="60"/>
      <c r="B80" s="60"/>
      <c r="C80" s="60"/>
      <c r="D80" s="60"/>
      <c r="E80" s="60"/>
      <c r="F80" s="60"/>
      <c r="G80" s="60"/>
      <c r="H80" s="60"/>
      <c r="I80" s="60"/>
      <c r="J80" s="60"/>
      <c r="K80" s="60"/>
      <c r="L80" s="60"/>
      <c r="M80" s="60"/>
      <c r="N80" s="60"/>
      <c r="O80" s="60"/>
      <c r="P80" s="60"/>
      <c r="Q80" s="60"/>
      <c r="R80" s="60"/>
      <c r="S80" s="60"/>
      <c r="T80" s="60"/>
      <c r="U80" s="60"/>
      <c r="V80" s="60"/>
      <c r="W80" s="60"/>
      <c r="X80" s="60"/>
      <c r="Y80" s="60"/>
      <c r="Z80" s="60"/>
    </row>
    <row r="81">
      <c r="A81" s="60"/>
      <c r="B81" s="60"/>
      <c r="C81" s="60"/>
      <c r="D81" s="60"/>
      <c r="E81" s="60"/>
      <c r="F81" s="60"/>
      <c r="G81" s="60"/>
      <c r="H81" s="60"/>
      <c r="I81" s="60"/>
      <c r="J81" s="60"/>
      <c r="K81" s="60"/>
      <c r="L81" s="60"/>
      <c r="M81" s="60"/>
      <c r="N81" s="60"/>
      <c r="O81" s="60"/>
      <c r="P81" s="60"/>
      <c r="Q81" s="60"/>
      <c r="R81" s="60"/>
      <c r="S81" s="60"/>
      <c r="T81" s="60"/>
      <c r="U81" s="60"/>
      <c r="V81" s="60"/>
      <c r="W81" s="60"/>
      <c r="X81" s="60"/>
      <c r="Y81" s="60"/>
      <c r="Z81" s="60"/>
    </row>
    <row r="82">
      <c r="A82" s="60"/>
      <c r="B82" s="60"/>
      <c r="C82" s="60"/>
      <c r="D82" s="60"/>
      <c r="E82" s="60"/>
      <c r="F82" s="60"/>
      <c r="G82" s="60"/>
      <c r="H82" s="60"/>
      <c r="I82" s="60"/>
      <c r="J82" s="60"/>
      <c r="K82" s="60"/>
      <c r="L82" s="60"/>
      <c r="M82" s="60"/>
      <c r="N82" s="60"/>
      <c r="O82" s="60"/>
      <c r="P82" s="60"/>
      <c r="Q82" s="60"/>
      <c r="R82" s="60"/>
      <c r="S82" s="60"/>
      <c r="T82" s="60"/>
      <c r="U82" s="60"/>
      <c r="V82" s="60"/>
      <c r="W82" s="60"/>
      <c r="X82" s="60"/>
      <c r="Y82" s="60"/>
      <c r="Z82" s="60"/>
    </row>
    <row r="83">
      <c r="A83" s="60"/>
      <c r="B83" s="60"/>
      <c r="C83" s="60"/>
      <c r="D83" s="60"/>
      <c r="E83" s="60"/>
      <c r="F83" s="60"/>
      <c r="G83" s="60"/>
      <c r="H83" s="60"/>
      <c r="I83" s="60"/>
      <c r="J83" s="60"/>
      <c r="K83" s="60"/>
      <c r="L83" s="60"/>
      <c r="M83" s="60"/>
      <c r="N83" s="60"/>
      <c r="O83" s="60"/>
      <c r="P83" s="60"/>
      <c r="Q83" s="60"/>
      <c r="R83" s="60"/>
      <c r="S83" s="60"/>
      <c r="T83" s="60"/>
      <c r="U83" s="60"/>
      <c r="V83" s="60"/>
      <c r="W83" s="60"/>
      <c r="X83" s="60"/>
      <c r="Y83" s="60"/>
      <c r="Z83" s="60"/>
    </row>
    <row r="84">
      <c r="A84" s="60"/>
      <c r="B84" s="60"/>
      <c r="C84" s="60"/>
      <c r="D84" s="60"/>
      <c r="E84" s="60"/>
      <c r="F84" s="60"/>
      <c r="G84" s="60"/>
      <c r="H84" s="60"/>
      <c r="I84" s="60"/>
      <c r="J84" s="60"/>
      <c r="K84" s="60"/>
      <c r="L84" s="60"/>
      <c r="M84" s="60"/>
      <c r="N84" s="60"/>
      <c r="O84" s="60"/>
      <c r="P84" s="60"/>
      <c r="Q84" s="60"/>
      <c r="R84" s="60"/>
      <c r="S84" s="60"/>
      <c r="T84" s="60"/>
      <c r="U84" s="60"/>
      <c r="V84" s="60"/>
      <c r="W84" s="60"/>
      <c r="X84" s="60"/>
      <c r="Y84" s="60"/>
      <c r="Z84" s="60"/>
    </row>
    <row r="85">
      <c r="A85" s="60"/>
      <c r="B85" s="60"/>
      <c r="C85" s="60"/>
      <c r="D85" s="60"/>
      <c r="E85" s="60"/>
      <c r="F85" s="60"/>
      <c r="G85" s="60"/>
      <c r="H85" s="60"/>
      <c r="I85" s="60"/>
      <c r="J85" s="60"/>
      <c r="K85" s="60"/>
      <c r="L85" s="60"/>
      <c r="M85" s="60"/>
      <c r="N85" s="60"/>
      <c r="O85" s="60"/>
      <c r="P85" s="60"/>
      <c r="Q85" s="60"/>
      <c r="R85" s="60"/>
      <c r="S85" s="60"/>
      <c r="T85" s="60"/>
      <c r="U85" s="60"/>
      <c r="V85" s="60"/>
      <c r="W85" s="60"/>
      <c r="X85" s="60"/>
      <c r="Y85" s="60"/>
      <c r="Z85" s="60"/>
    </row>
    <row r="86">
      <c r="A86" s="60"/>
      <c r="B86" s="60"/>
      <c r="C86" s="60"/>
      <c r="D86" s="60"/>
      <c r="E86" s="60"/>
      <c r="F86" s="60"/>
      <c r="G86" s="60"/>
      <c r="H86" s="60"/>
      <c r="I86" s="60"/>
      <c r="J86" s="60"/>
      <c r="K86" s="60"/>
      <c r="L86" s="60"/>
      <c r="M86" s="60"/>
      <c r="N86" s="60"/>
      <c r="O86" s="60"/>
      <c r="P86" s="60"/>
      <c r="Q86" s="60"/>
      <c r="R86" s="60"/>
      <c r="S86" s="60"/>
      <c r="T86" s="60"/>
      <c r="U86" s="60"/>
      <c r="V86" s="60"/>
      <c r="W86" s="60"/>
      <c r="X86" s="60"/>
      <c r="Y86" s="60"/>
      <c r="Z86" s="60"/>
    </row>
    <row r="87">
      <c r="A87" s="60"/>
      <c r="B87" s="60"/>
      <c r="C87" s="60"/>
      <c r="D87" s="60"/>
      <c r="E87" s="60"/>
      <c r="F87" s="60"/>
      <c r="G87" s="60"/>
      <c r="H87" s="60"/>
      <c r="I87" s="60"/>
      <c r="J87" s="60"/>
      <c r="K87" s="60"/>
      <c r="L87" s="60"/>
      <c r="M87" s="60"/>
      <c r="N87" s="60"/>
      <c r="O87" s="60"/>
      <c r="P87" s="60"/>
      <c r="Q87" s="60"/>
      <c r="R87" s="60"/>
      <c r="S87" s="60"/>
      <c r="T87" s="60"/>
      <c r="U87" s="60"/>
      <c r="V87" s="60"/>
      <c r="W87" s="60"/>
      <c r="X87" s="60"/>
      <c r="Y87" s="60"/>
      <c r="Z87" s="60"/>
    </row>
    <row r="88">
      <c r="A88" s="60"/>
      <c r="B88" s="60"/>
      <c r="C88" s="60"/>
      <c r="D88" s="60"/>
      <c r="E88" s="60"/>
      <c r="F88" s="60"/>
      <c r="G88" s="60"/>
      <c r="H88" s="60"/>
      <c r="I88" s="60"/>
      <c r="J88" s="60"/>
      <c r="K88" s="60"/>
      <c r="L88" s="60"/>
      <c r="M88" s="60"/>
      <c r="N88" s="60"/>
      <c r="O88" s="60"/>
      <c r="P88" s="60"/>
      <c r="Q88" s="60"/>
      <c r="R88" s="60"/>
      <c r="S88" s="60"/>
      <c r="T88" s="60"/>
      <c r="U88" s="60"/>
      <c r="V88" s="60"/>
      <c r="W88" s="60"/>
      <c r="X88" s="60"/>
      <c r="Y88" s="60"/>
      <c r="Z88" s="60"/>
    </row>
    <row r="89">
      <c r="A89" s="60"/>
      <c r="B89" s="60"/>
      <c r="C89" s="60"/>
      <c r="D89" s="60"/>
      <c r="E89" s="60"/>
      <c r="F89" s="60"/>
      <c r="G89" s="60"/>
      <c r="H89" s="60"/>
      <c r="I89" s="60"/>
      <c r="J89" s="60"/>
      <c r="K89" s="60"/>
      <c r="L89" s="60"/>
      <c r="M89" s="60"/>
      <c r="N89" s="60"/>
      <c r="O89" s="60"/>
      <c r="P89" s="60"/>
      <c r="Q89" s="60"/>
      <c r="R89" s="60"/>
      <c r="S89" s="60"/>
      <c r="T89" s="60"/>
      <c r="U89" s="60"/>
      <c r="V89" s="60"/>
      <c r="W89" s="60"/>
      <c r="X89" s="60"/>
      <c r="Y89" s="60"/>
      <c r="Z89" s="60"/>
    </row>
    <row r="90">
      <c r="A90" s="60"/>
      <c r="B90" s="60"/>
      <c r="C90" s="60"/>
      <c r="D90" s="60"/>
      <c r="E90" s="60"/>
      <c r="F90" s="60"/>
      <c r="G90" s="60"/>
      <c r="H90" s="60"/>
      <c r="I90" s="60"/>
      <c r="J90" s="60"/>
      <c r="K90" s="60"/>
      <c r="L90" s="60"/>
      <c r="M90" s="60"/>
      <c r="N90" s="60"/>
      <c r="O90" s="60"/>
      <c r="P90" s="60"/>
      <c r="Q90" s="60"/>
      <c r="R90" s="60"/>
      <c r="S90" s="60"/>
      <c r="T90" s="60"/>
      <c r="U90" s="60"/>
      <c r="V90" s="60"/>
      <c r="W90" s="60"/>
      <c r="X90" s="60"/>
      <c r="Y90" s="60"/>
      <c r="Z90" s="60"/>
    </row>
    <row r="91">
      <c r="A91" s="60"/>
      <c r="B91" s="60"/>
      <c r="C91" s="60"/>
      <c r="D91" s="60"/>
      <c r="E91" s="60"/>
      <c r="F91" s="60"/>
      <c r="G91" s="60"/>
      <c r="H91" s="60"/>
      <c r="I91" s="60"/>
      <c r="J91" s="60"/>
      <c r="K91" s="60"/>
      <c r="L91" s="60"/>
      <c r="M91" s="60"/>
      <c r="N91" s="60"/>
      <c r="O91" s="60"/>
      <c r="P91" s="60"/>
      <c r="Q91" s="60"/>
      <c r="R91" s="60"/>
      <c r="S91" s="60"/>
      <c r="T91" s="60"/>
      <c r="U91" s="60"/>
      <c r="V91" s="60"/>
      <c r="W91" s="60"/>
      <c r="X91" s="60"/>
      <c r="Y91" s="60"/>
      <c r="Z91" s="60"/>
    </row>
    <row r="92">
      <c r="A92" s="60"/>
      <c r="B92" s="60"/>
      <c r="C92" s="60"/>
      <c r="D92" s="60"/>
      <c r="E92" s="60"/>
      <c r="F92" s="60"/>
      <c r="G92" s="60"/>
      <c r="H92" s="60"/>
      <c r="I92" s="60"/>
      <c r="J92" s="60"/>
      <c r="K92" s="60"/>
      <c r="L92" s="60"/>
      <c r="M92" s="60"/>
      <c r="N92" s="60"/>
      <c r="O92" s="60"/>
      <c r="P92" s="60"/>
      <c r="Q92" s="60"/>
      <c r="R92" s="60"/>
      <c r="S92" s="60"/>
      <c r="T92" s="60"/>
      <c r="U92" s="60"/>
      <c r="V92" s="60"/>
      <c r="W92" s="60"/>
      <c r="X92" s="60"/>
      <c r="Y92" s="60"/>
      <c r="Z92" s="60"/>
    </row>
    <row r="93">
      <c r="A93" s="60"/>
      <c r="B93" s="60"/>
      <c r="C93" s="60"/>
      <c r="D93" s="60"/>
      <c r="E93" s="60"/>
      <c r="F93" s="60"/>
      <c r="G93" s="60"/>
      <c r="H93" s="60"/>
      <c r="I93" s="60"/>
      <c r="J93" s="60"/>
      <c r="K93" s="60"/>
      <c r="L93" s="60"/>
      <c r="M93" s="60"/>
      <c r="N93" s="60"/>
      <c r="O93" s="60"/>
      <c r="P93" s="60"/>
      <c r="Q93" s="60"/>
      <c r="R93" s="60"/>
      <c r="S93" s="60"/>
      <c r="T93" s="60"/>
      <c r="U93" s="60"/>
      <c r="V93" s="60"/>
      <c r="W93" s="60"/>
      <c r="X93" s="60"/>
      <c r="Y93" s="60"/>
      <c r="Z93" s="60"/>
    </row>
    <row r="94">
      <c r="A94" s="60"/>
      <c r="B94" s="60"/>
      <c r="C94" s="60"/>
      <c r="D94" s="60"/>
      <c r="E94" s="60"/>
      <c r="F94" s="60"/>
      <c r="G94" s="60"/>
      <c r="H94" s="60"/>
      <c r="I94" s="60"/>
      <c r="J94" s="60"/>
      <c r="K94" s="60"/>
      <c r="L94" s="60"/>
      <c r="M94" s="60"/>
      <c r="N94" s="60"/>
      <c r="O94" s="60"/>
      <c r="P94" s="60"/>
      <c r="Q94" s="60"/>
      <c r="R94" s="60"/>
      <c r="S94" s="60"/>
      <c r="T94" s="60"/>
      <c r="U94" s="60"/>
      <c r="V94" s="60"/>
      <c r="W94" s="60"/>
      <c r="X94" s="60"/>
      <c r="Y94" s="60"/>
      <c r="Z94" s="60"/>
    </row>
    <row r="95">
      <c r="A95" s="60"/>
      <c r="B95" s="60"/>
      <c r="C95" s="60"/>
      <c r="D95" s="60"/>
      <c r="E95" s="60"/>
      <c r="F95" s="60"/>
      <c r="G95" s="60"/>
      <c r="H95" s="60"/>
      <c r="I95" s="60"/>
      <c r="J95" s="60"/>
      <c r="K95" s="60"/>
      <c r="L95" s="60"/>
      <c r="M95" s="60"/>
      <c r="N95" s="60"/>
      <c r="O95" s="60"/>
      <c r="P95" s="60"/>
      <c r="Q95" s="60"/>
      <c r="R95" s="60"/>
      <c r="S95" s="60"/>
      <c r="T95" s="60"/>
      <c r="U95" s="60"/>
      <c r="V95" s="60"/>
      <c r="W95" s="60"/>
      <c r="X95" s="60"/>
      <c r="Y95" s="60"/>
      <c r="Z95" s="60"/>
    </row>
    <row r="96">
      <c r="A96" s="60"/>
      <c r="B96" s="60"/>
      <c r="C96" s="60"/>
      <c r="D96" s="60"/>
      <c r="E96" s="60"/>
      <c r="F96" s="60"/>
      <c r="G96" s="60"/>
      <c r="H96" s="60"/>
      <c r="I96" s="60"/>
      <c r="J96" s="60"/>
      <c r="K96" s="60"/>
      <c r="L96" s="60"/>
      <c r="M96" s="60"/>
      <c r="N96" s="60"/>
      <c r="O96" s="60"/>
      <c r="P96" s="60"/>
      <c r="Q96" s="60"/>
      <c r="R96" s="60"/>
      <c r="S96" s="60"/>
      <c r="T96" s="60"/>
      <c r="U96" s="60"/>
      <c r="V96" s="60"/>
      <c r="W96" s="60"/>
      <c r="X96" s="60"/>
      <c r="Y96" s="60"/>
      <c r="Z96" s="60"/>
    </row>
    <row r="97">
      <c r="A97" s="60"/>
      <c r="B97" s="60"/>
      <c r="C97" s="60"/>
      <c r="D97" s="60"/>
      <c r="E97" s="60"/>
      <c r="F97" s="60"/>
      <c r="G97" s="60"/>
      <c r="H97" s="60"/>
      <c r="I97" s="60"/>
      <c r="J97" s="60"/>
      <c r="K97" s="60"/>
      <c r="L97" s="60"/>
      <c r="M97" s="60"/>
      <c r="N97" s="60"/>
      <c r="O97" s="60"/>
      <c r="P97" s="60"/>
      <c r="Q97" s="60"/>
      <c r="R97" s="60"/>
      <c r="S97" s="60"/>
      <c r="T97" s="60"/>
      <c r="U97" s="60"/>
      <c r="V97" s="60"/>
      <c r="W97" s="60"/>
      <c r="X97" s="60"/>
      <c r="Y97" s="60"/>
      <c r="Z97" s="60"/>
    </row>
    <row r="98">
      <c r="A98" s="60"/>
      <c r="B98" s="60"/>
      <c r="C98" s="60"/>
      <c r="D98" s="60"/>
      <c r="E98" s="60"/>
      <c r="F98" s="60"/>
      <c r="G98" s="60"/>
      <c r="H98" s="60"/>
      <c r="I98" s="60"/>
      <c r="J98" s="60"/>
      <c r="K98" s="60"/>
      <c r="L98" s="60"/>
      <c r="M98" s="60"/>
      <c r="N98" s="60"/>
      <c r="O98" s="60"/>
      <c r="P98" s="60"/>
      <c r="Q98" s="60"/>
      <c r="R98" s="60"/>
      <c r="S98" s="60"/>
      <c r="T98" s="60"/>
      <c r="U98" s="60"/>
      <c r="V98" s="60"/>
      <c r="W98" s="60"/>
      <c r="X98" s="60"/>
      <c r="Y98" s="60"/>
      <c r="Z98" s="60"/>
    </row>
    <row r="99">
      <c r="A99" s="60"/>
      <c r="B99" s="60"/>
      <c r="C99" s="60"/>
      <c r="D99" s="60"/>
      <c r="E99" s="60"/>
      <c r="F99" s="60"/>
      <c r="G99" s="60"/>
      <c r="H99" s="60"/>
      <c r="I99" s="60"/>
      <c r="J99" s="60"/>
      <c r="K99" s="60"/>
      <c r="L99" s="60"/>
      <c r="M99" s="60"/>
      <c r="N99" s="60"/>
      <c r="O99" s="60"/>
      <c r="P99" s="60"/>
      <c r="Q99" s="60"/>
      <c r="R99" s="60"/>
      <c r="S99" s="60"/>
      <c r="T99" s="60"/>
      <c r="U99" s="60"/>
      <c r="V99" s="60"/>
      <c r="W99" s="60"/>
      <c r="X99" s="60"/>
      <c r="Y99" s="60"/>
      <c r="Z99" s="60"/>
    </row>
    <row r="100">
      <c r="A100" s="60"/>
      <c r="B100" s="60"/>
      <c r="C100" s="60"/>
      <c r="D100" s="60"/>
      <c r="E100" s="60"/>
      <c r="F100" s="60"/>
      <c r="G100" s="60"/>
      <c r="H100" s="60"/>
      <c r="I100" s="60"/>
      <c r="J100" s="60"/>
      <c r="K100" s="60"/>
      <c r="L100" s="60"/>
      <c r="M100" s="60"/>
      <c r="N100" s="60"/>
      <c r="O100" s="60"/>
      <c r="P100" s="60"/>
      <c r="Q100" s="60"/>
      <c r="R100" s="60"/>
      <c r="S100" s="60"/>
      <c r="T100" s="60"/>
      <c r="U100" s="60"/>
      <c r="V100" s="60"/>
      <c r="W100" s="60"/>
      <c r="X100" s="60"/>
      <c r="Y100" s="60"/>
      <c r="Z100" s="60"/>
    </row>
    <row r="101">
      <c r="A101" s="60"/>
      <c r="B101" s="60"/>
      <c r="C101" s="60"/>
      <c r="D101" s="60"/>
      <c r="E101" s="60"/>
      <c r="F101" s="60"/>
      <c r="G101" s="60"/>
      <c r="H101" s="60"/>
      <c r="I101" s="60"/>
      <c r="J101" s="60"/>
      <c r="K101" s="60"/>
      <c r="L101" s="60"/>
      <c r="M101" s="60"/>
      <c r="N101" s="60"/>
      <c r="O101" s="60"/>
      <c r="P101" s="60"/>
      <c r="Q101" s="60"/>
      <c r="R101" s="60"/>
      <c r="S101" s="60"/>
      <c r="T101" s="60"/>
      <c r="U101" s="60"/>
      <c r="V101" s="60"/>
      <c r="W101" s="60"/>
      <c r="X101" s="60"/>
      <c r="Y101" s="60"/>
      <c r="Z101" s="60"/>
    </row>
    <row r="102">
      <c r="A102" s="60"/>
      <c r="B102" s="60"/>
      <c r="C102" s="60"/>
      <c r="D102" s="60"/>
      <c r="E102" s="60"/>
      <c r="F102" s="60"/>
      <c r="G102" s="60"/>
      <c r="H102" s="60"/>
      <c r="I102" s="60"/>
      <c r="J102" s="60"/>
      <c r="K102" s="60"/>
      <c r="L102" s="60"/>
      <c r="M102" s="60"/>
      <c r="N102" s="60"/>
      <c r="O102" s="60"/>
      <c r="P102" s="60"/>
      <c r="Q102" s="60"/>
      <c r="R102" s="60"/>
      <c r="S102" s="60"/>
      <c r="T102" s="60"/>
      <c r="U102" s="60"/>
      <c r="V102" s="60"/>
      <c r="W102" s="60"/>
      <c r="X102" s="60"/>
      <c r="Y102" s="60"/>
      <c r="Z102" s="60"/>
    </row>
    <row r="103">
      <c r="A103" s="60"/>
      <c r="B103" s="60"/>
      <c r="C103" s="60"/>
      <c r="D103" s="60"/>
      <c r="E103" s="60"/>
      <c r="F103" s="60"/>
      <c r="G103" s="60"/>
      <c r="H103" s="60"/>
      <c r="I103" s="60"/>
      <c r="J103" s="60"/>
      <c r="K103" s="60"/>
      <c r="L103" s="60"/>
      <c r="M103" s="60"/>
      <c r="N103" s="60"/>
      <c r="O103" s="60"/>
      <c r="P103" s="60"/>
      <c r="Q103" s="60"/>
      <c r="R103" s="60"/>
      <c r="S103" s="60"/>
      <c r="T103" s="60"/>
      <c r="U103" s="60"/>
      <c r="V103" s="60"/>
      <c r="W103" s="60"/>
      <c r="X103" s="60"/>
      <c r="Y103" s="60"/>
      <c r="Z103" s="60"/>
    </row>
    <row r="104">
      <c r="A104" s="60"/>
      <c r="B104" s="60"/>
      <c r="C104" s="60"/>
      <c r="D104" s="60"/>
      <c r="E104" s="60"/>
      <c r="F104" s="60"/>
      <c r="G104" s="60"/>
      <c r="H104" s="60"/>
      <c r="I104" s="60"/>
      <c r="J104" s="60"/>
      <c r="K104" s="60"/>
      <c r="L104" s="60"/>
      <c r="M104" s="60"/>
      <c r="N104" s="60"/>
      <c r="O104" s="60"/>
      <c r="P104" s="60"/>
      <c r="Q104" s="60"/>
      <c r="R104" s="60"/>
      <c r="S104" s="60"/>
      <c r="T104" s="60"/>
      <c r="U104" s="60"/>
      <c r="V104" s="60"/>
      <c r="W104" s="60"/>
      <c r="X104" s="60"/>
      <c r="Y104" s="60"/>
      <c r="Z104" s="60"/>
    </row>
    <row r="105">
      <c r="A105" s="60"/>
      <c r="B105" s="60"/>
      <c r="C105" s="60"/>
      <c r="D105" s="60"/>
      <c r="E105" s="60"/>
      <c r="F105" s="60"/>
      <c r="G105" s="60"/>
      <c r="H105" s="60"/>
      <c r="I105" s="60"/>
      <c r="J105" s="60"/>
      <c r="K105" s="60"/>
      <c r="L105" s="60"/>
      <c r="M105" s="60"/>
      <c r="N105" s="60"/>
      <c r="O105" s="60"/>
      <c r="P105" s="60"/>
      <c r="Q105" s="60"/>
      <c r="R105" s="60"/>
      <c r="S105" s="60"/>
      <c r="T105" s="60"/>
      <c r="U105" s="60"/>
      <c r="V105" s="60"/>
      <c r="W105" s="60"/>
      <c r="X105" s="60"/>
      <c r="Y105" s="60"/>
      <c r="Z105" s="60"/>
    </row>
    <row r="106">
      <c r="A106" s="60"/>
      <c r="B106" s="60"/>
      <c r="C106" s="60"/>
      <c r="D106" s="60"/>
      <c r="E106" s="60"/>
      <c r="F106" s="60"/>
      <c r="G106" s="60"/>
      <c r="H106" s="60"/>
      <c r="I106" s="60"/>
      <c r="J106" s="60"/>
      <c r="K106" s="60"/>
      <c r="L106" s="60"/>
      <c r="M106" s="60"/>
      <c r="N106" s="60"/>
      <c r="O106" s="60"/>
      <c r="P106" s="60"/>
      <c r="Q106" s="60"/>
      <c r="R106" s="60"/>
      <c r="S106" s="60"/>
      <c r="T106" s="60"/>
      <c r="U106" s="60"/>
      <c r="V106" s="60"/>
      <c r="W106" s="60"/>
      <c r="X106" s="60"/>
      <c r="Y106" s="60"/>
      <c r="Z106" s="60"/>
    </row>
    <row r="107">
      <c r="A107" s="60"/>
      <c r="B107" s="60"/>
      <c r="C107" s="60"/>
      <c r="D107" s="60"/>
      <c r="E107" s="60"/>
      <c r="F107" s="60"/>
      <c r="G107" s="60"/>
      <c r="H107" s="60"/>
      <c r="I107" s="60"/>
      <c r="J107" s="60"/>
      <c r="K107" s="60"/>
      <c r="L107" s="60"/>
      <c r="M107" s="60"/>
      <c r="N107" s="60"/>
      <c r="O107" s="60"/>
      <c r="P107" s="60"/>
      <c r="Q107" s="60"/>
      <c r="R107" s="60"/>
      <c r="S107" s="60"/>
      <c r="T107" s="60"/>
      <c r="U107" s="60"/>
      <c r="V107" s="60"/>
      <c r="W107" s="60"/>
      <c r="X107" s="60"/>
      <c r="Y107" s="60"/>
      <c r="Z107" s="60"/>
    </row>
    <row r="108">
      <c r="A108" s="60"/>
      <c r="B108" s="60"/>
      <c r="C108" s="60"/>
      <c r="D108" s="60"/>
      <c r="E108" s="60"/>
      <c r="F108" s="60"/>
      <c r="G108" s="60"/>
      <c r="H108" s="60"/>
      <c r="I108" s="60"/>
      <c r="J108" s="60"/>
      <c r="K108" s="60"/>
      <c r="L108" s="60"/>
      <c r="M108" s="60"/>
      <c r="N108" s="60"/>
      <c r="O108" s="60"/>
      <c r="P108" s="60"/>
      <c r="Q108" s="60"/>
      <c r="R108" s="60"/>
      <c r="S108" s="60"/>
      <c r="T108" s="60"/>
      <c r="U108" s="60"/>
      <c r="V108" s="60"/>
      <c r="W108" s="60"/>
      <c r="X108" s="60"/>
      <c r="Y108" s="60"/>
      <c r="Z108" s="60"/>
    </row>
    <row r="109">
      <c r="A109" s="60"/>
      <c r="B109" s="60"/>
      <c r="C109" s="60"/>
      <c r="D109" s="60"/>
      <c r="E109" s="60"/>
      <c r="F109" s="60"/>
      <c r="G109" s="60"/>
      <c r="H109" s="60"/>
      <c r="I109" s="60"/>
      <c r="J109" s="60"/>
      <c r="K109" s="60"/>
      <c r="L109" s="60"/>
      <c r="M109" s="60"/>
      <c r="N109" s="60"/>
      <c r="O109" s="60"/>
      <c r="P109" s="60"/>
      <c r="Q109" s="60"/>
      <c r="R109" s="60"/>
      <c r="S109" s="60"/>
      <c r="T109" s="60"/>
      <c r="U109" s="60"/>
      <c r="V109" s="60"/>
      <c r="W109" s="60"/>
      <c r="X109" s="60"/>
      <c r="Y109" s="60"/>
      <c r="Z109" s="60"/>
    </row>
    <row r="110">
      <c r="A110" s="60"/>
      <c r="B110" s="60"/>
      <c r="C110" s="60"/>
      <c r="D110" s="60"/>
      <c r="E110" s="60"/>
      <c r="F110" s="60"/>
      <c r="G110" s="60"/>
      <c r="H110" s="60"/>
      <c r="I110" s="60"/>
      <c r="J110" s="60"/>
      <c r="K110" s="60"/>
      <c r="L110" s="60"/>
      <c r="M110" s="60"/>
      <c r="N110" s="60"/>
      <c r="O110" s="60"/>
      <c r="P110" s="60"/>
      <c r="Q110" s="60"/>
      <c r="R110" s="60"/>
      <c r="S110" s="60"/>
      <c r="T110" s="60"/>
      <c r="U110" s="60"/>
      <c r="V110" s="60"/>
      <c r="W110" s="60"/>
      <c r="X110" s="60"/>
      <c r="Y110" s="60"/>
      <c r="Z110" s="60"/>
    </row>
    <row r="111">
      <c r="A111" s="60"/>
      <c r="B111" s="60"/>
      <c r="C111" s="60"/>
      <c r="D111" s="60"/>
      <c r="E111" s="60"/>
      <c r="F111" s="60"/>
      <c r="G111" s="60"/>
      <c r="H111" s="60"/>
      <c r="I111" s="60"/>
      <c r="J111" s="60"/>
      <c r="K111" s="60"/>
      <c r="L111" s="60"/>
      <c r="M111" s="60"/>
      <c r="N111" s="60"/>
      <c r="O111" s="60"/>
      <c r="P111" s="60"/>
      <c r="Q111" s="60"/>
      <c r="R111" s="60"/>
      <c r="S111" s="60"/>
      <c r="T111" s="60"/>
      <c r="U111" s="60"/>
      <c r="V111" s="60"/>
      <c r="W111" s="60"/>
      <c r="X111" s="60"/>
      <c r="Y111" s="60"/>
      <c r="Z111" s="60"/>
    </row>
    <row r="112">
      <c r="A112" s="60"/>
      <c r="B112" s="60"/>
      <c r="C112" s="60"/>
      <c r="D112" s="60"/>
      <c r="E112" s="60"/>
      <c r="F112" s="60"/>
      <c r="G112" s="60"/>
      <c r="H112" s="60"/>
      <c r="I112" s="60"/>
      <c r="J112" s="60"/>
      <c r="K112" s="60"/>
      <c r="L112" s="60"/>
      <c r="M112" s="60"/>
      <c r="N112" s="60"/>
      <c r="O112" s="60"/>
      <c r="P112" s="60"/>
      <c r="Q112" s="60"/>
      <c r="R112" s="60"/>
      <c r="S112" s="60"/>
      <c r="T112" s="60"/>
      <c r="U112" s="60"/>
      <c r="V112" s="60"/>
      <c r="W112" s="60"/>
      <c r="X112" s="60"/>
      <c r="Y112" s="60"/>
      <c r="Z112" s="60"/>
    </row>
    <row r="113">
      <c r="A113" s="60"/>
      <c r="B113" s="60"/>
      <c r="C113" s="60"/>
      <c r="D113" s="60"/>
      <c r="E113" s="60"/>
      <c r="F113" s="60"/>
      <c r="G113" s="60"/>
      <c r="H113" s="60"/>
      <c r="I113" s="60"/>
      <c r="J113" s="60"/>
      <c r="K113" s="60"/>
      <c r="L113" s="60"/>
      <c r="M113" s="60"/>
      <c r="N113" s="60"/>
      <c r="O113" s="60"/>
      <c r="P113" s="60"/>
      <c r="Q113" s="60"/>
      <c r="R113" s="60"/>
      <c r="S113" s="60"/>
      <c r="T113" s="60"/>
      <c r="U113" s="60"/>
      <c r="V113" s="60"/>
      <c r="W113" s="60"/>
      <c r="X113" s="60"/>
      <c r="Y113" s="60"/>
      <c r="Z113" s="60"/>
    </row>
    <row r="114">
      <c r="A114" s="60"/>
      <c r="B114" s="60"/>
      <c r="C114" s="60"/>
      <c r="D114" s="60"/>
      <c r="E114" s="60"/>
      <c r="F114" s="60"/>
      <c r="G114" s="60"/>
      <c r="H114" s="60"/>
      <c r="I114" s="60"/>
      <c r="J114" s="60"/>
      <c r="K114" s="60"/>
      <c r="L114" s="60"/>
      <c r="M114" s="60"/>
      <c r="N114" s="60"/>
      <c r="O114" s="60"/>
      <c r="P114" s="60"/>
      <c r="Q114" s="60"/>
      <c r="R114" s="60"/>
      <c r="S114" s="60"/>
      <c r="T114" s="60"/>
      <c r="U114" s="60"/>
      <c r="V114" s="60"/>
      <c r="W114" s="60"/>
      <c r="X114" s="60"/>
      <c r="Y114" s="60"/>
      <c r="Z114" s="60"/>
    </row>
    <row r="115">
      <c r="A115" s="60"/>
      <c r="B115" s="60"/>
      <c r="C115" s="60"/>
      <c r="D115" s="60"/>
      <c r="E115" s="60"/>
      <c r="F115" s="60"/>
      <c r="G115" s="60"/>
      <c r="H115" s="60"/>
      <c r="I115" s="60"/>
      <c r="J115" s="60"/>
      <c r="K115" s="60"/>
      <c r="L115" s="60"/>
      <c r="M115" s="60"/>
      <c r="N115" s="60"/>
      <c r="O115" s="60"/>
      <c r="P115" s="60"/>
      <c r="Q115" s="60"/>
      <c r="R115" s="60"/>
      <c r="S115" s="60"/>
      <c r="T115" s="60"/>
      <c r="U115" s="60"/>
      <c r="V115" s="60"/>
      <c r="W115" s="60"/>
      <c r="X115" s="60"/>
      <c r="Y115" s="60"/>
      <c r="Z115" s="60"/>
    </row>
    <row r="116">
      <c r="A116" s="60"/>
      <c r="B116" s="60"/>
      <c r="C116" s="60"/>
      <c r="D116" s="60"/>
      <c r="E116" s="60"/>
      <c r="F116" s="60"/>
      <c r="G116" s="60"/>
      <c r="H116" s="60"/>
      <c r="I116" s="60"/>
      <c r="J116" s="60"/>
      <c r="K116" s="60"/>
      <c r="L116" s="60"/>
      <c r="M116" s="60"/>
      <c r="N116" s="60"/>
      <c r="O116" s="60"/>
      <c r="P116" s="60"/>
      <c r="Q116" s="60"/>
      <c r="R116" s="60"/>
      <c r="S116" s="60"/>
      <c r="T116" s="60"/>
      <c r="U116" s="60"/>
      <c r="V116" s="60"/>
      <c r="W116" s="60"/>
      <c r="X116" s="60"/>
      <c r="Y116" s="60"/>
      <c r="Z116" s="60"/>
    </row>
    <row r="117">
      <c r="A117" s="60"/>
      <c r="B117" s="60"/>
      <c r="C117" s="60"/>
      <c r="D117" s="60"/>
      <c r="E117" s="60"/>
      <c r="F117" s="60"/>
      <c r="G117" s="60"/>
      <c r="H117" s="60"/>
      <c r="I117" s="60"/>
      <c r="J117" s="60"/>
      <c r="K117" s="60"/>
      <c r="L117" s="60"/>
      <c r="M117" s="60"/>
      <c r="N117" s="60"/>
      <c r="O117" s="60"/>
      <c r="P117" s="60"/>
      <c r="Q117" s="60"/>
      <c r="R117" s="60"/>
      <c r="S117" s="60"/>
      <c r="T117" s="60"/>
      <c r="U117" s="60"/>
      <c r="V117" s="60"/>
      <c r="W117" s="60"/>
      <c r="X117" s="60"/>
      <c r="Y117" s="60"/>
      <c r="Z117" s="60"/>
    </row>
    <row r="118">
      <c r="A118" s="60"/>
      <c r="B118" s="60"/>
      <c r="C118" s="60"/>
      <c r="D118" s="60"/>
      <c r="E118" s="60"/>
      <c r="F118" s="60"/>
      <c r="G118" s="60"/>
      <c r="H118" s="60"/>
      <c r="I118" s="60"/>
      <c r="J118" s="60"/>
      <c r="K118" s="60"/>
      <c r="L118" s="60"/>
      <c r="M118" s="60"/>
      <c r="N118" s="60"/>
      <c r="O118" s="60"/>
      <c r="P118" s="60"/>
      <c r="Q118" s="60"/>
      <c r="R118" s="60"/>
      <c r="S118" s="60"/>
      <c r="T118" s="60"/>
      <c r="U118" s="60"/>
      <c r="V118" s="60"/>
      <c r="W118" s="60"/>
      <c r="X118" s="60"/>
      <c r="Y118" s="60"/>
      <c r="Z118" s="60"/>
    </row>
    <row r="119">
      <c r="A119" s="60"/>
      <c r="B119" s="60"/>
      <c r="C119" s="60"/>
      <c r="D119" s="60"/>
      <c r="E119" s="60"/>
      <c r="F119" s="60"/>
      <c r="G119" s="60"/>
      <c r="H119" s="60"/>
      <c r="I119" s="60"/>
      <c r="J119" s="60"/>
      <c r="K119" s="60"/>
      <c r="L119" s="60"/>
      <c r="M119" s="60"/>
      <c r="N119" s="60"/>
      <c r="O119" s="60"/>
      <c r="P119" s="60"/>
      <c r="Q119" s="60"/>
      <c r="R119" s="60"/>
      <c r="S119" s="60"/>
      <c r="T119" s="60"/>
      <c r="U119" s="60"/>
      <c r="V119" s="60"/>
      <c r="W119" s="60"/>
      <c r="X119" s="60"/>
      <c r="Y119" s="60"/>
      <c r="Z119" s="60"/>
    </row>
    <row r="120">
      <c r="A120" s="60"/>
      <c r="B120" s="60"/>
      <c r="C120" s="60"/>
      <c r="D120" s="60"/>
      <c r="E120" s="60"/>
      <c r="F120" s="60"/>
      <c r="G120" s="60"/>
      <c r="H120" s="60"/>
      <c r="I120" s="60"/>
      <c r="J120" s="60"/>
      <c r="K120" s="60"/>
      <c r="L120" s="60"/>
      <c r="M120" s="60"/>
      <c r="N120" s="60"/>
      <c r="O120" s="60"/>
      <c r="P120" s="60"/>
      <c r="Q120" s="60"/>
      <c r="R120" s="60"/>
      <c r="S120" s="60"/>
      <c r="T120" s="60"/>
      <c r="U120" s="60"/>
      <c r="V120" s="60"/>
      <c r="W120" s="60"/>
      <c r="X120" s="60"/>
      <c r="Y120" s="60"/>
      <c r="Z120" s="60"/>
    </row>
    <row r="121">
      <c r="A121" s="60"/>
      <c r="B121" s="60"/>
      <c r="C121" s="60"/>
      <c r="D121" s="60"/>
      <c r="E121" s="60"/>
      <c r="F121" s="60"/>
      <c r="G121" s="60"/>
      <c r="H121" s="60"/>
      <c r="I121" s="60"/>
      <c r="J121" s="60"/>
      <c r="K121" s="60"/>
      <c r="L121" s="60"/>
      <c r="M121" s="60"/>
      <c r="N121" s="60"/>
      <c r="O121" s="60"/>
      <c r="P121" s="60"/>
      <c r="Q121" s="60"/>
      <c r="R121" s="60"/>
      <c r="S121" s="60"/>
      <c r="T121" s="60"/>
      <c r="U121" s="60"/>
      <c r="V121" s="60"/>
      <c r="W121" s="60"/>
      <c r="X121" s="60"/>
      <c r="Y121" s="60"/>
      <c r="Z121" s="60"/>
    </row>
    <row r="122">
      <c r="A122" s="60"/>
      <c r="B122" s="60"/>
      <c r="C122" s="60"/>
      <c r="D122" s="60"/>
      <c r="E122" s="60"/>
      <c r="F122" s="60"/>
      <c r="G122" s="60"/>
      <c r="H122" s="60"/>
      <c r="I122" s="60"/>
      <c r="J122" s="60"/>
      <c r="K122" s="60"/>
      <c r="L122" s="60"/>
      <c r="M122" s="60"/>
      <c r="N122" s="60"/>
      <c r="O122" s="60"/>
      <c r="P122" s="60"/>
      <c r="Q122" s="60"/>
      <c r="R122" s="60"/>
      <c r="S122" s="60"/>
      <c r="T122" s="60"/>
      <c r="U122" s="60"/>
      <c r="V122" s="60"/>
      <c r="W122" s="60"/>
      <c r="X122" s="60"/>
      <c r="Y122" s="60"/>
      <c r="Z122" s="60"/>
    </row>
    <row r="123">
      <c r="A123" s="60"/>
      <c r="B123" s="60"/>
      <c r="C123" s="60"/>
      <c r="D123" s="60"/>
      <c r="E123" s="60"/>
      <c r="F123" s="60"/>
      <c r="G123" s="60"/>
      <c r="H123" s="60"/>
      <c r="I123" s="60"/>
      <c r="J123" s="60"/>
      <c r="K123" s="60"/>
      <c r="L123" s="60"/>
      <c r="M123" s="60"/>
      <c r="N123" s="60"/>
      <c r="O123" s="60"/>
      <c r="P123" s="60"/>
      <c r="Q123" s="60"/>
      <c r="R123" s="60"/>
      <c r="S123" s="60"/>
      <c r="T123" s="60"/>
      <c r="U123" s="60"/>
      <c r="V123" s="60"/>
      <c r="W123" s="60"/>
      <c r="X123" s="60"/>
      <c r="Y123" s="60"/>
      <c r="Z123" s="60"/>
    </row>
    <row r="124">
      <c r="A124" s="60"/>
      <c r="B124" s="60"/>
      <c r="C124" s="60"/>
      <c r="D124" s="60"/>
      <c r="E124" s="60"/>
      <c r="F124" s="60"/>
      <c r="G124" s="60"/>
      <c r="H124" s="60"/>
      <c r="I124" s="60"/>
      <c r="J124" s="60"/>
      <c r="K124" s="60"/>
      <c r="L124" s="60"/>
      <c r="M124" s="60"/>
      <c r="N124" s="60"/>
      <c r="O124" s="60"/>
      <c r="P124" s="60"/>
      <c r="Q124" s="60"/>
      <c r="R124" s="60"/>
      <c r="S124" s="60"/>
      <c r="T124" s="60"/>
      <c r="U124" s="60"/>
      <c r="V124" s="60"/>
      <c r="W124" s="60"/>
      <c r="X124" s="60"/>
      <c r="Y124" s="60"/>
      <c r="Z124" s="60"/>
    </row>
    <row r="125">
      <c r="A125" s="60"/>
      <c r="B125" s="60"/>
      <c r="C125" s="60"/>
      <c r="D125" s="60"/>
      <c r="E125" s="60"/>
      <c r="F125" s="60"/>
      <c r="G125" s="60"/>
      <c r="H125" s="60"/>
      <c r="I125" s="60"/>
      <c r="J125" s="60"/>
      <c r="K125" s="60"/>
      <c r="L125" s="60"/>
      <c r="M125" s="60"/>
      <c r="N125" s="60"/>
      <c r="O125" s="60"/>
      <c r="P125" s="60"/>
      <c r="Q125" s="60"/>
      <c r="R125" s="60"/>
      <c r="S125" s="60"/>
      <c r="T125" s="60"/>
      <c r="U125" s="60"/>
      <c r="V125" s="60"/>
      <c r="W125" s="60"/>
      <c r="X125" s="60"/>
      <c r="Y125" s="60"/>
      <c r="Z125" s="60"/>
    </row>
    <row r="126">
      <c r="A126" s="60"/>
      <c r="B126" s="60"/>
      <c r="C126" s="60"/>
      <c r="D126" s="60"/>
      <c r="E126" s="60"/>
      <c r="F126" s="60"/>
      <c r="G126" s="60"/>
      <c r="H126" s="60"/>
      <c r="I126" s="60"/>
      <c r="J126" s="60"/>
      <c r="K126" s="60"/>
      <c r="L126" s="60"/>
      <c r="M126" s="60"/>
      <c r="N126" s="60"/>
      <c r="O126" s="60"/>
      <c r="P126" s="60"/>
      <c r="Q126" s="60"/>
      <c r="R126" s="60"/>
      <c r="S126" s="60"/>
      <c r="T126" s="60"/>
      <c r="U126" s="60"/>
      <c r="V126" s="60"/>
      <c r="W126" s="60"/>
      <c r="X126" s="60"/>
      <c r="Y126" s="60"/>
      <c r="Z126" s="60"/>
    </row>
    <row r="127">
      <c r="A127" s="60"/>
      <c r="B127" s="60"/>
      <c r="C127" s="60"/>
      <c r="D127" s="60"/>
      <c r="E127" s="60"/>
      <c r="F127" s="60"/>
      <c r="G127" s="60"/>
      <c r="H127" s="60"/>
      <c r="I127" s="60"/>
      <c r="J127" s="60"/>
      <c r="K127" s="60"/>
      <c r="L127" s="60"/>
      <c r="M127" s="60"/>
      <c r="N127" s="60"/>
      <c r="O127" s="60"/>
      <c r="P127" s="60"/>
      <c r="Q127" s="60"/>
      <c r="R127" s="60"/>
      <c r="S127" s="60"/>
      <c r="T127" s="60"/>
      <c r="U127" s="60"/>
      <c r="V127" s="60"/>
      <c r="W127" s="60"/>
      <c r="X127" s="60"/>
      <c r="Y127" s="60"/>
      <c r="Z127" s="60"/>
    </row>
    <row r="128">
      <c r="A128" s="60"/>
      <c r="B128" s="60"/>
      <c r="C128" s="60"/>
      <c r="D128" s="60"/>
      <c r="E128" s="60"/>
      <c r="F128" s="60"/>
      <c r="G128" s="60"/>
      <c r="H128" s="60"/>
      <c r="I128" s="60"/>
      <c r="J128" s="60"/>
      <c r="K128" s="60"/>
      <c r="L128" s="60"/>
      <c r="M128" s="60"/>
      <c r="N128" s="60"/>
      <c r="O128" s="60"/>
      <c r="P128" s="60"/>
      <c r="Q128" s="60"/>
      <c r="R128" s="60"/>
      <c r="S128" s="60"/>
      <c r="T128" s="60"/>
      <c r="U128" s="60"/>
      <c r="V128" s="60"/>
      <c r="W128" s="60"/>
      <c r="X128" s="60"/>
      <c r="Y128" s="60"/>
      <c r="Z128" s="60"/>
    </row>
    <row r="129">
      <c r="A129" s="60"/>
      <c r="B129" s="60"/>
      <c r="C129" s="60"/>
      <c r="D129" s="60"/>
      <c r="E129" s="60"/>
      <c r="F129" s="60"/>
      <c r="G129" s="60"/>
      <c r="H129" s="60"/>
      <c r="I129" s="60"/>
      <c r="J129" s="60"/>
      <c r="K129" s="60"/>
      <c r="L129" s="60"/>
      <c r="M129" s="60"/>
      <c r="N129" s="60"/>
      <c r="O129" s="60"/>
      <c r="P129" s="60"/>
      <c r="Q129" s="60"/>
      <c r="R129" s="60"/>
      <c r="S129" s="60"/>
      <c r="T129" s="60"/>
      <c r="U129" s="60"/>
      <c r="V129" s="60"/>
      <c r="W129" s="60"/>
      <c r="X129" s="60"/>
      <c r="Y129" s="60"/>
      <c r="Z129" s="60"/>
    </row>
    <row r="130">
      <c r="A130" s="60"/>
      <c r="B130" s="60"/>
      <c r="C130" s="60"/>
      <c r="D130" s="60"/>
      <c r="E130" s="60"/>
      <c r="F130" s="60"/>
      <c r="G130" s="60"/>
      <c r="H130" s="60"/>
      <c r="I130" s="60"/>
      <c r="J130" s="60"/>
      <c r="K130" s="60"/>
      <c r="L130" s="60"/>
      <c r="M130" s="60"/>
      <c r="N130" s="60"/>
      <c r="O130" s="60"/>
      <c r="P130" s="60"/>
      <c r="Q130" s="60"/>
      <c r="R130" s="60"/>
      <c r="S130" s="60"/>
      <c r="T130" s="60"/>
      <c r="U130" s="60"/>
      <c r="V130" s="60"/>
      <c r="W130" s="60"/>
      <c r="X130" s="60"/>
      <c r="Y130" s="60"/>
      <c r="Z130" s="60"/>
    </row>
    <row r="131">
      <c r="A131" s="60"/>
      <c r="B131" s="60"/>
      <c r="C131" s="60"/>
      <c r="D131" s="60"/>
      <c r="E131" s="60"/>
      <c r="F131" s="60"/>
      <c r="G131" s="60"/>
      <c r="H131" s="60"/>
      <c r="I131" s="60"/>
      <c r="J131" s="60"/>
      <c r="K131" s="60"/>
      <c r="L131" s="60"/>
      <c r="M131" s="60"/>
      <c r="N131" s="60"/>
      <c r="O131" s="60"/>
      <c r="P131" s="60"/>
      <c r="Q131" s="60"/>
      <c r="R131" s="60"/>
      <c r="S131" s="60"/>
      <c r="T131" s="60"/>
      <c r="U131" s="60"/>
      <c r="V131" s="60"/>
      <c r="W131" s="60"/>
      <c r="X131" s="60"/>
      <c r="Y131" s="60"/>
      <c r="Z131" s="60"/>
    </row>
    <row r="132">
      <c r="A132" s="60"/>
      <c r="B132" s="60"/>
      <c r="C132" s="60"/>
      <c r="D132" s="60"/>
      <c r="E132" s="60"/>
      <c r="F132" s="60"/>
      <c r="G132" s="60"/>
      <c r="H132" s="60"/>
      <c r="I132" s="60"/>
      <c r="J132" s="60"/>
      <c r="K132" s="60"/>
      <c r="L132" s="60"/>
      <c r="M132" s="60"/>
      <c r="N132" s="60"/>
      <c r="O132" s="60"/>
      <c r="P132" s="60"/>
      <c r="Q132" s="60"/>
      <c r="R132" s="60"/>
      <c r="S132" s="60"/>
      <c r="T132" s="60"/>
      <c r="U132" s="60"/>
      <c r="V132" s="60"/>
      <c r="W132" s="60"/>
      <c r="X132" s="60"/>
      <c r="Y132" s="60"/>
      <c r="Z132" s="60"/>
    </row>
    <row r="133">
      <c r="A133" s="60"/>
      <c r="B133" s="60"/>
      <c r="C133" s="60"/>
      <c r="D133" s="60"/>
      <c r="E133" s="60"/>
      <c r="F133" s="60"/>
      <c r="G133" s="60"/>
      <c r="H133" s="60"/>
      <c r="I133" s="60"/>
      <c r="J133" s="60"/>
      <c r="K133" s="60"/>
      <c r="L133" s="60"/>
      <c r="M133" s="60"/>
      <c r="N133" s="60"/>
      <c r="O133" s="60"/>
      <c r="P133" s="60"/>
      <c r="Q133" s="60"/>
      <c r="R133" s="60"/>
      <c r="S133" s="60"/>
      <c r="T133" s="60"/>
      <c r="U133" s="60"/>
      <c r="V133" s="60"/>
      <c r="W133" s="60"/>
      <c r="X133" s="60"/>
      <c r="Y133" s="60"/>
      <c r="Z133" s="60"/>
    </row>
    <row r="134">
      <c r="A134" s="60"/>
      <c r="B134" s="60"/>
      <c r="C134" s="60"/>
      <c r="D134" s="60"/>
      <c r="E134" s="60"/>
      <c r="F134" s="60"/>
      <c r="G134" s="60"/>
      <c r="H134" s="60"/>
      <c r="I134" s="60"/>
      <c r="J134" s="60"/>
      <c r="K134" s="60"/>
      <c r="L134" s="60"/>
      <c r="M134" s="60"/>
      <c r="N134" s="60"/>
      <c r="O134" s="60"/>
      <c r="P134" s="60"/>
      <c r="Q134" s="60"/>
      <c r="R134" s="60"/>
      <c r="S134" s="60"/>
      <c r="T134" s="60"/>
      <c r="U134" s="60"/>
      <c r="V134" s="60"/>
      <c r="W134" s="60"/>
      <c r="X134" s="60"/>
      <c r="Y134" s="60"/>
      <c r="Z134" s="60"/>
    </row>
    <row r="135">
      <c r="A135" s="60"/>
      <c r="B135" s="60"/>
      <c r="C135" s="60"/>
      <c r="D135" s="60"/>
      <c r="E135" s="60"/>
      <c r="F135" s="60"/>
      <c r="G135" s="60"/>
      <c r="H135" s="60"/>
      <c r="I135" s="60"/>
      <c r="J135" s="60"/>
      <c r="K135" s="60"/>
      <c r="L135" s="60"/>
      <c r="M135" s="60"/>
      <c r="N135" s="60"/>
      <c r="O135" s="60"/>
      <c r="P135" s="60"/>
      <c r="Q135" s="60"/>
      <c r="R135" s="60"/>
      <c r="S135" s="60"/>
      <c r="T135" s="60"/>
      <c r="U135" s="60"/>
      <c r="V135" s="60"/>
      <c r="W135" s="60"/>
      <c r="X135" s="60"/>
      <c r="Y135" s="60"/>
      <c r="Z135" s="60"/>
    </row>
    <row r="136">
      <c r="A136" s="60"/>
      <c r="B136" s="60"/>
      <c r="C136" s="60"/>
      <c r="D136" s="60"/>
      <c r="E136" s="60"/>
      <c r="F136" s="60"/>
      <c r="G136" s="60"/>
      <c r="H136" s="60"/>
      <c r="I136" s="60"/>
      <c r="J136" s="60"/>
      <c r="K136" s="60"/>
      <c r="L136" s="60"/>
      <c r="M136" s="60"/>
      <c r="N136" s="60"/>
      <c r="O136" s="60"/>
      <c r="P136" s="60"/>
      <c r="Q136" s="60"/>
      <c r="R136" s="60"/>
      <c r="S136" s="60"/>
      <c r="T136" s="60"/>
      <c r="U136" s="60"/>
      <c r="V136" s="60"/>
      <c r="W136" s="60"/>
      <c r="X136" s="60"/>
      <c r="Y136" s="60"/>
      <c r="Z136" s="60"/>
    </row>
    <row r="137">
      <c r="A137" s="60"/>
      <c r="B137" s="60"/>
      <c r="C137" s="60"/>
      <c r="D137" s="60"/>
      <c r="E137" s="60"/>
      <c r="F137" s="60"/>
      <c r="G137" s="60"/>
      <c r="H137" s="60"/>
      <c r="I137" s="60"/>
      <c r="J137" s="60"/>
      <c r="K137" s="60"/>
      <c r="L137" s="60"/>
      <c r="M137" s="60"/>
      <c r="N137" s="60"/>
      <c r="O137" s="60"/>
      <c r="P137" s="60"/>
      <c r="Q137" s="60"/>
      <c r="R137" s="60"/>
      <c r="S137" s="60"/>
      <c r="T137" s="60"/>
      <c r="U137" s="60"/>
      <c r="V137" s="60"/>
      <c r="W137" s="60"/>
      <c r="X137" s="60"/>
      <c r="Y137" s="60"/>
      <c r="Z137" s="60"/>
    </row>
    <row r="138">
      <c r="A138" s="60"/>
      <c r="B138" s="60"/>
      <c r="C138" s="60"/>
      <c r="D138" s="60"/>
      <c r="E138" s="60"/>
      <c r="F138" s="60"/>
      <c r="G138" s="60"/>
      <c r="H138" s="60"/>
      <c r="I138" s="60"/>
      <c r="J138" s="60"/>
      <c r="K138" s="60"/>
      <c r="L138" s="60"/>
      <c r="M138" s="60"/>
      <c r="N138" s="60"/>
      <c r="O138" s="60"/>
      <c r="P138" s="60"/>
      <c r="Q138" s="60"/>
      <c r="R138" s="60"/>
      <c r="S138" s="60"/>
      <c r="T138" s="60"/>
      <c r="U138" s="60"/>
      <c r="V138" s="60"/>
      <c r="W138" s="60"/>
      <c r="X138" s="60"/>
      <c r="Y138" s="60"/>
      <c r="Z138" s="60"/>
    </row>
    <row r="139">
      <c r="A139" s="60"/>
      <c r="B139" s="60"/>
      <c r="C139" s="60"/>
      <c r="D139" s="60"/>
      <c r="E139" s="60"/>
      <c r="F139" s="60"/>
      <c r="G139" s="60"/>
      <c r="H139" s="60"/>
      <c r="I139" s="60"/>
      <c r="J139" s="60"/>
      <c r="K139" s="60"/>
      <c r="L139" s="60"/>
      <c r="M139" s="60"/>
      <c r="N139" s="60"/>
      <c r="O139" s="60"/>
      <c r="P139" s="60"/>
      <c r="Q139" s="60"/>
      <c r="R139" s="60"/>
      <c r="S139" s="60"/>
      <c r="T139" s="60"/>
      <c r="U139" s="60"/>
      <c r="V139" s="60"/>
      <c r="W139" s="60"/>
      <c r="X139" s="60"/>
      <c r="Y139" s="60"/>
      <c r="Z139" s="60"/>
    </row>
    <row r="140">
      <c r="A140" s="60"/>
      <c r="B140" s="60"/>
      <c r="C140" s="60"/>
      <c r="D140" s="60"/>
      <c r="E140" s="60"/>
      <c r="F140" s="60"/>
      <c r="G140" s="60"/>
      <c r="H140" s="60"/>
      <c r="I140" s="60"/>
      <c r="J140" s="60"/>
      <c r="K140" s="60"/>
      <c r="L140" s="60"/>
      <c r="M140" s="60"/>
      <c r="N140" s="60"/>
      <c r="O140" s="60"/>
      <c r="P140" s="60"/>
      <c r="Q140" s="60"/>
      <c r="R140" s="60"/>
      <c r="S140" s="60"/>
      <c r="T140" s="60"/>
      <c r="U140" s="60"/>
      <c r="V140" s="60"/>
      <c r="W140" s="60"/>
      <c r="X140" s="60"/>
      <c r="Y140" s="60"/>
      <c r="Z140" s="60"/>
    </row>
    <row r="141">
      <c r="A141" s="60"/>
      <c r="B141" s="60"/>
      <c r="C141" s="60"/>
      <c r="D141" s="60"/>
      <c r="E141" s="60"/>
      <c r="F141" s="60"/>
      <c r="G141" s="60"/>
      <c r="H141" s="60"/>
      <c r="I141" s="60"/>
      <c r="J141" s="60"/>
      <c r="K141" s="60"/>
      <c r="L141" s="60"/>
      <c r="M141" s="60"/>
      <c r="N141" s="60"/>
      <c r="O141" s="60"/>
      <c r="P141" s="60"/>
      <c r="Q141" s="60"/>
      <c r="R141" s="60"/>
      <c r="S141" s="60"/>
      <c r="T141" s="60"/>
      <c r="U141" s="60"/>
      <c r="V141" s="60"/>
      <c r="W141" s="60"/>
      <c r="X141" s="60"/>
      <c r="Y141" s="60"/>
      <c r="Z141" s="60"/>
    </row>
    <row r="142">
      <c r="A142" s="60"/>
      <c r="B142" s="60"/>
      <c r="C142" s="60"/>
      <c r="D142" s="60"/>
      <c r="E142" s="60"/>
      <c r="F142" s="60"/>
      <c r="G142" s="60"/>
      <c r="H142" s="60"/>
      <c r="I142" s="60"/>
      <c r="J142" s="60"/>
      <c r="K142" s="60"/>
      <c r="L142" s="60"/>
      <c r="M142" s="60"/>
      <c r="N142" s="60"/>
      <c r="O142" s="60"/>
      <c r="P142" s="60"/>
      <c r="Q142" s="60"/>
      <c r="R142" s="60"/>
      <c r="S142" s="60"/>
      <c r="T142" s="60"/>
      <c r="U142" s="60"/>
      <c r="V142" s="60"/>
      <c r="W142" s="60"/>
      <c r="X142" s="60"/>
      <c r="Y142" s="60"/>
      <c r="Z142" s="60"/>
    </row>
    <row r="143">
      <c r="A143" s="60"/>
      <c r="B143" s="60"/>
      <c r="C143" s="60"/>
      <c r="D143" s="60"/>
      <c r="E143" s="60"/>
      <c r="F143" s="60"/>
      <c r="G143" s="60"/>
      <c r="H143" s="60"/>
      <c r="I143" s="60"/>
      <c r="J143" s="60"/>
      <c r="K143" s="60"/>
      <c r="L143" s="60"/>
      <c r="M143" s="60"/>
      <c r="N143" s="60"/>
      <c r="O143" s="60"/>
      <c r="P143" s="60"/>
      <c r="Q143" s="60"/>
      <c r="R143" s="60"/>
      <c r="S143" s="60"/>
      <c r="T143" s="60"/>
      <c r="U143" s="60"/>
      <c r="V143" s="60"/>
      <c r="W143" s="60"/>
      <c r="X143" s="60"/>
      <c r="Y143" s="60"/>
      <c r="Z143" s="60"/>
    </row>
    <row r="144">
      <c r="A144" s="60"/>
      <c r="B144" s="60"/>
      <c r="C144" s="60"/>
      <c r="D144" s="60"/>
      <c r="E144" s="60"/>
      <c r="F144" s="60"/>
      <c r="G144" s="60"/>
      <c r="H144" s="60"/>
      <c r="I144" s="60"/>
      <c r="J144" s="60"/>
      <c r="K144" s="60"/>
      <c r="L144" s="60"/>
      <c r="M144" s="60"/>
      <c r="N144" s="60"/>
      <c r="O144" s="60"/>
      <c r="P144" s="60"/>
      <c r="Q144" s="60"/>
      <c r="R144" s="60"/>
      <c r="S144" s="60"/>
      <c r="T144" s="60"/>
      <c r="U144" s="60"/>
      <c r="V144" s="60"/>
      <c r="W144" s="60"/>
      <c r="X144" s="60"/>
      <c r="Y144" s="60"/>
      <c r="Z144" s="60"/>
    </row>
    <row r="145">
      <c r="A145" s="60"/>
      <c r="B145" s="60"/>
      <c r="C145" s="60"/>
      <c r="D145" s="60"/>
      <c r="E145" s="60"/>
      <c r="F145" s="60"/>
      <c r="G145" s="60"/>
      <c r="H145" s="60"/>
      <c r="I145" s="60"/>
      <c r="J145" s="60"/>
      <c r="K145" s="60"/>
      <c r="L145" s="60"/>
      <c r="M145" s="60"/>
      <c r="N145" s="60"/>
      <c r="O145" s="60"/>
      <c r="P145" s="60"/>
      <c r="Q145" s="60"/>
      <c r="R145" s="60"/>
      <c r="S145" s="60"/>
      <c r="T145" s="60"/>
      <c r="U145" s="60"/>
      <c r="V145" s="60"/>
      <c r="W145" s="60"/>
      <c r="X145" s="60"/>
      <c r="Y145" s="60"/>
      <c r="Z145" s="60"/>
    </row>
    <row r="146">
      <c r="A146" s="60"/>
      <c r="B146" s="60"/>
      <c r="C146" s="60"/>
      <c r="D146" s="60"/>
      <c r="E146" s="60"/>
      <c r="F146" s="60"/>
      <c r="G146" s="60"/>
      <c r="H146" s="60"/>
      <c r="I146" s="60"/>
      <c r="J146" s="60"/>
      <c r="K146" s="60"/>
      <c r="L146" s="60"/>
      <c r="M146" s="60"/>
      <c r="N146" s="60"/>
      <c r="O146" s="60"/>
      <c r="P146" s="60"/>
      <c r="Q146" s="60"/>
      <c r="R146" s="60"/>
      <c r="S146" s="60"/>
      <c r="T146" s="60"/>
      <c r="U146" s="60"/>
      <c r="V146" s="60"/>
      <c r="W146" s="60"/>
      <c r="X146" s="60"/>
      <c r="Y146" s="60"/>
      <c r="Z146" s="60"/>
    </row>
    <row r="147">
      <c r="A147" s="60"/>
      <c r="B147" s="60"/>
      <c r="C147" s="60"/>
      <c r="D147" s="60"/>
      <c r="E147" s="60"/>
      <c r="F147" s="60"/>
      <c r="G147" s="60"/>
      <c r="H147" s="60"/>
      <c r="I147" s="60"/>
      <c r="J147" s="60"/>
      <c r="K147" s="60"/>
      <c r="L147" s="60"/>
      <c r="M147" s="60"/>
      <c r="N147" s="60"/>
      <c r="O147" s="60"/>
      <c r="P147" s="60"/>
      <c r="Q147" s="60"/>
      <c r="R147" s="60"/>
      <c r="S147" s="60"/>
      <c r="T147" s="60"/>
      <c r="U147" s="60"/>
      <c r="V147" s="60"/>
      <c r="W147" s="60"/>
      <c r="X147" s="60"/>
      <c r="Y147" s="60"/>
      <c r="Z147" s="60"/>
    </row>
    <row r="148">
      <c r="A148" s="60"/>
      <c r="B148" s="60"/>
      <c r="C148" s="60"/>
      <c r="D148" s="60"/>
      <c r="E148" s="60"/>
      <c r="F148" s="60"/>
      <c r="G148" s="60"/>
      <c r="H148" s="60"/>
      <c r="I148" s="60"/>
      <c r="J148" s="60"/>
      <c r="K148" s="60"/>
      <c r="L148" s="60"/>
      <c r="M148" s="60"/>
      <c r="N148" s="60"/>
      <c r="O148" s="60"/>
      <c r="P148" s="60"/>
      <c r="Q148" s="60"/>
      <c r="R148" s="60"/>
      <c r="S148" s="60"/>
      <c r="T148" s="60"/>
      <c r="U148" s="60"/>
      <c r="V148" s="60"/>
      <c r="W148" s="60"/>
      <c r="X148" s="60"/>
      <c r="Y148" s="60"/>
      <c r="Z148" s="60"/>
    </row>
    <row r="149">
      <c r="A149" s="60"/>
      <c r="B149" s="60"/>
      <c r="C149" s="60"/>
      <c r="D149" s="60"/>
      <c r="E149" s="60"/>
      <c r="F149" s="60"/>
      <c r="G149" s="60"/>
      <c r="H149" s="60"/>
      <c r="I149" s="60"/>
      <c r="J149" s="60"/>
      <c r="K149" s="60"/>
      <c r="L149" s="60"/>
      <c r="M149" s="60"/>
      <c r="N149" s="60"/>
      <c r="O149" s="60"/>
      <c r="P149" s="60"/>
      <c r="Q149" s="60"/>
      <c r="R149" s="60"/>
      <c r="S149" s="60"/>
      <c r="T149" s="60"/>
      <c r="U149" s="60"/>
      <c r="V149" s="60"/>
      <c r="W149" s="60"/>
      <c r="X149" s="60"/>
      <c r="Y149" s="60"/>
      <c r="Z149" s="60"/>
    </row>
    <row r="150">
      <c r="A150" s="60"/>
      <c r="B150" s="60"/>
      <c r="C150" s="60"/>
      <c r="D150" s="60"/>
      <c r="E150" s="60"/>
      <c r="F150" s="60"/>
      <c r="G150" s="60"/>
      <c r="H150" s="60"/>
      <c r="I150" s="60"/>
      <c r="J150" s="60"/>
      <c r="K150" s="60"/>
      <c r="L150" s="60"/>
      <c r="M150" s="60"/>
      <c r="N150" s="60"/>
      <c r="O150" s="60"/>
      <c r="P150" s="60"/>
      <c r="Q150" s="60"/>
      <c r="R150" s="60"/>
      <c r="S150" s="60"/>
      <c r="T150" s="60"/>
      <c r="U150" s="60"/>
      <c r="V150" s="60"/>
      <c r="W150" s="60"/>
      <c r="X150" s="60"/>
      <c r="Y150" s="60"/>
      <c r="Z150" s="60"/>
    </row>
    <row r="151">
      <c r="A151" s="60"/>
      <c r="B151" s="60"/>
      <c r="C151" s="60"/>
      <c r="D151" s="60"/>
      <c r="E151" s="60"/>
      <c r="F151" s="60"/>
      <c r="G151" s="60"/>
      <c r="H151" s="60"/>
      <c r="I151" s="60"/>
      <c r="J151" s="60"/>
      <c r="K151" s="60"/>
      <c r="L151" s="60"/>
      <c r="M151" s="60"/>
      <c r="N151" s="60"/>
      <c r="O151" s="60"/>
      <c r="P151" s="60"/>
      <c r="Q151" s="60"/>
      <c r="R151" s="60"/>
      <c r="S151" s="60"/>
      <c r="T151" s="60"/>
      <c r="U151" s="60"/>
      <c r="V151" s="60"/>
      <c r="W151" s="60"/>
      <c r="X151" s="60"/>
      <c r="Y151" s="60"/>
      <c r="Z151" s="60"/>
    </row>
    <row r="152">
      <c r="A152" s="60"/>
      <c r="B152" s="60"/>
      <c r="C152" s="60"/>
      <c r="D152" s="60"/>
      <c r="E152" s="60"/>
      <c r="F152" s="60"/>
      <c r="G152" s="60"/>
      <c r="H152" s="60"/>
      <c r="I152" s="60"/>
      <c r="J152" s="60"/>
      <c r="K152" s="60"/>
      <c r="L152" s="60"/>
      <c r="M152" s="60"/>
      <c r="N152" s="60"/>
      <c r="O152" s="60"/>
      <c r="P152" s="60"/>
      <c r="Q152" s="60"/>
      <c r="R152" s="60"/>
      <c r="S152" s="60"/>
      <c r="T152" s="60"/>
      <c r="U152" s="60"/>
      <c r="V152" s="60"/>
      <c r="W152" s="60"/>
      <c r="X152" s="60"/>
      <c r="Y152" s="60"/>
      <c r="Z152" s="60"/>
    </row>
    <row r="153">
      <c r="A153" s="60"/>
      <c r="B153" s="60"/>
      <c r="C153" s="60"/>
      <c r="D153" s="60"/>
      <c r="E153" s="60"/>
      <c r="F153" s="60"/>
      <c r="G153" s="60"/>
      <c r="H153" s="60"/>
      <c r="I153" s="60"/>
      <c r="J153" s="60"/>
      <c r="K153" s="60"/>
      <c r="L153" s="60"/>
      <c r="M153" s="60"/>
      <c r="N153" s="60"/>
      <c r="O153" s="60"/>
      <c r="P153" s="60"/>
      <c r="Q153" s="60"/>
      <c r="R153" s="60"/>
      <c r="S153" s="60"/>
      <c r="T153" s="60"/>
      <c r="U153" s="60"/>
      <c r="V153" s="60"/>
      <c r="W153" s="60"/>
      <c r="X153" s="60"/>
      <c r="Y153" s="60"/>
      <c r="Z153" s="60"/>
    </row>
    <row r="154">
      <c r="A154" s="60"/>
      <c r="B154" s="60"/>
      <c r="C154" s="60"/>
      <c r="D154" s="60"/>
      <c r="E154" s="60"/>
      <c r="F154" s="60"/>
      <c r="G154" s="60"/>
      <c r="H154" s="60"/>
      <c r="I154" s="60"/>
      <c r="J154" s="60"/>
      <c r="K154" s="60"/>
      <c r="L154" s="60"/>
      <c r="M154" s="60"/>
      <c r="N154" s="60"/>
      <c r="O154" s="60"/>
      <c r="P154" s="60"/>
      <c r="Q154" s="60"/>
      <c r="R154" s="60"/>
      <c r="S154" s="60"/>
      <c r="T154" s="60"/>
      <c r="U154" s="60"/>
      <c r="V154" s="60"/>
      <c r="W154" s="60"/>
      <c r="X154" s="60"/>
      <c r="Y154" s="60"/>
      <c r="Z154" s="60"/>
    </row>
    <row r="155">
      <c r="A155" s="60"/>
      <c r="B155" s="60"/>
      <c r="C155" s="60"/>
      <c r="D155" s="60"/>
      <c r="E155" s="60"/>
      <c r="F155" s="60"/>
      <c r="G155" s="60"/>
      <c r="H155" s="60"/>
      <c r="I155" s="60"/>
      <c r="J155" s="60"/>
      <c r="K155" s="60"/>
      <c r="L155" s="60"/>
      <c r="M155" s="60"/>
      <c r="N155" s="60"/>
      <c r="O155" s="60"/>
      <c r="P155" s="60"/>
      <c r="Q155" s="60"/>
      <c r="R155" s="60"/>
      <c r="S155" s="60"/>
      <c r="T155" s="60"/>
      <c r="U155" s="60"/>
      <c r="V155" s="60"/>
      <c r="W155" s="60"/>
      <c r="X155" s="60"/>
      <c r="Y155" s="60"/>
      <c r="Z155" s="60"/>
    </row>
    <row r="156">
      <c r="A156" s="60"/>
      <c r="B156" s="60"/>
      <c r="C156" s="60"/>
      <c r="D156" s="60"/>
      <c r="E156" s="60"/>
      <c r="F156" s="60"/>
      <c r="G156" s="60"/>
      <c r="H156" s="60"/>
      <c r="I156" s="60"/>
      <c r="J156" s="60"/>
      <c r="K156" s="60"/>
      <c r="L156" s="60"/>
      <c r="M156" s="60"/>
      <c r="N156" s="60"/>
      <c r="O156" s="60"/>
      <c r="P156" s="60"/>
      <c r="Q156" s="60"/>
      <c r="R156" s="60"/>
      <c r="S156" s="60"/>
      <c r="T156" s="60"/>
      <c r="U156" s="60"/>
      <c r="V156" s="60"/>
      <c r="W156" s="60"/>
      <c r="X156" s="60"/>
      <c r="Y156" s="60"/>
      <c r="Z156" s="60"/>
    </row>
    <row r="157">
      <c r="A157" s="60"/>
      <c r="B157" s="60"/>
      <c r="C157" s="60"/>
      <c r="D157" s="60"/>
      <c r="E157" s="60"/>
      <c r="F157" s="60"/>
      <c r="G157" s="60"/>
      <c r="H157" s="60"/>
      <c r="I157" s="60"/>
      <c r="J157" s="60"/>
      <c r="K157" s="60"/>
      <c r="L157" s="60"/>
      <c r="M157" s="60"/>
      <c r="N157" s="60"/>
      <c r="O157" s="60"/>
      <c r="P157" s="60"/>
      <c r="Q157" s="60"/>
      <c r="R157" s="60"/>
      <c r="S157" s="60"/>
      <c r="T157" s="60"/>
      <c r="U157" s="60"/>
      <c r="V157" s="60"/>
      <c r="W157" s="60"/>
      <c r="X157" s="60"/>
      <c r="Y157" s="60"/>
      <c r="Z157" s="60"/>
    </row>
    <row r="158">
      <c r="A158" s="60"/>
      <c r="B158" s="60"/>
      <c r="C158" s="60"/>
      <c r="D158" s="60"/>
      <c r="E158" s="60"/>
      <c r="F158" s="60"/>
      <c r="G158" s="60"/>
      <c r="H158" s="60"/>
      <c r="I158" s="60"/>
      <c r="J158" s="60"/>
      <c r="K158" s="60"/>
      <c r="L158" s="60"/>
      <c r="M158" s="60"/>
      <c r="N158" s="60"/>
      <c r="O158" s="60"/>
      <c r="P158" s="60"/>
      <c r="Q158" s="60"/>
      <c r="R158" s="60"/>
      <c r="S158" s="60"/>
      <c r="T158" s="60"/>
      <c r="U158" s="60"/>
      <c r="V158" s="60"/>
      <c r="W158" s="60"/>
      <c r="X158" s="60"/>
      <c r="Y158" s="60"/>
      <c r="Z158" s="60"/>
    </row>
    <row r="159">
      <c r="A159" s="60"/>
      <c r="B159" s="60"/>
      <c r="C159" s="60"/>
      <c r="D159" s="60"/>
      <c r="E159" s="60"/>
      <c r="F159" s="60"/>
      <c r="G159" s="60"/>
      <c r="H159" s="60"/>
      <c r="I159" s="60"/>
      <c r="J159" s="60"/>
      <c r="K159" s="60"/>
      <c r="L159" s="60"/>
      <c r="M159" s="60"/>
      <c r="N159" s="60"/>
      <c r="O159" s="60"/>
      <c r="P159" s="60"/>
      <c r="Q159" s="60"/>
      <c r="R159" s="60"/>
      <c r="S159" s="60"/>
      <c r="T159" s="60"/>
      <c r="U159" s="60"/>
      <c r="V159" s="60"/>
      <c r="W159" s="60"/>
      <c r="X159" s="60"/>
      <c r="Y159" s="60"/>
      <c r="Z159" s="60"/>
    </row>
    <row r="160">
      <c r="A160" s="60"/>
      <c r="B160" s="60"/>
      <c r="C160" s="60"/>
      <c r="D160" s="60"/>
      <c r="E160" s="60"/>
      <c r="F160" s="60"/>
      <c r="G160" s="60"/>
      <c r="H160" s="60"/>
      <c r="I160" s="60"/>
      <c r="J160" s="60"/>
      <c r="K160" s="60"/>
      <c r="L160" s="60"/>
      <c r="M160" s="60"/>
      <c r="N160" s="60"/>
      <c r="O160" s="60"/>
      <c r="P160" s="60"/>
      <c r="Q160" s="60"/>
      <c r="R160" s="60"/>
      <c r="S160" s="60"/>
      <c r="T160" s="60"/>
      <c r="U160" s="60"/>
      <c r="V160" s="60"/>
      <c r="W160" s="60"/>
      <c r="X160" s="60"/>
      <c r="Y160" s="60"/>
      <c r="Z160" s="60"/>
    </row>
    <row r="161">
      <c r="A161" s="60"/>
      <c r="B161" s="60"/>
      <c r="C161" s="60"/>
      <c r="D161" s="60"/>
      <c r="E161" s="60"/>
      <c r="F161" s="60"/>
      <c r="G161" s="60"/>
      <c r="H161" s="60"/>
      <c r="I161" s="60"/>
      <c r="J161" s="60"/>
      <c r="K161" s="60"/>
      <c r="L161" s="60"/>
      <c r="M161" s="60"/>
      <c r="N161" s="60"/>
      <c r="O161" s="60"/>
      <c r="P161" s="60"/>
      <c r="Q161" s="60"/>
      <c r="R161" s="60"/>
      <c r="S161" s="60"/>
      <c r="T161" s="60"/>
      <c r="U161" s="60"/>
      <c r="V161" s="60"/>
      <c r="W161" s="60"/>
      <c r="X161" s="60"/>
      <c r="Y161" s="60"/>
      <c r="Z161" s="60"/>
    </row>
    <row r="162">
      <c r="A162" s="60"/>
      <c r="B162" s="60"/>
      <c r="C162" s="60"/>
      <c r="D162" s="60"/>
      <c r="E162" s="60"/>
      <c r="F162" s="60"/>
      <c r="G162" s="60"/>
      <c r="H162" s="60"/>
      <c r="I162" s="60"/>
      <c r="J162" s="60"/>
      <c r="K162" s="60"/>
      <c r="L162" s="60"/>
      <c r="M162" s="60"/>
      <c r="N162" s="60"/>
      <c r="O162" s="60"/>
      <c r="P162" s="60"/>
      <c r="Q162" s="60"/>
      <c r="R162" s="60"/>
      <c r="S162" s="60"/>
      <c r="T162" s="60"/>
      <c r="U162" s="60"/>
      <c r="V162" s="60"/>
      <c r="W162" s="60"/>
      <c r="X162" s="60"/>
      <c r="Y162" s="60"/>
      <c r="Z162" s="60"/>
    </row>
    <row r="163">
      <c r="A163" s="60"/>
      <c r="B163" s="60"/>
      <c r="C163" s="60"/>
      <c r="D163" s="60"/>
      <c r="E163" s="60"/>
      <c r="F163" s="60"/>
      <c r="G163" s="60"/>
      <c r="H163" s="60"/>
      <c r="I163" s="60"/>
      <c r="J163" s="60"/>
      <c r="K163" s="60"/>
      <c r="L163" s="60"/>
      <c r="M163" s="60"/>
      <c r="N163" s="60"/>
      <c r="O163" s="60"/>
      <c r="P163" s="60"/>
      <c r="Q163" s="60"/>
      <c r="R163" s="60"/>
      <c r="S163" s="60"/>
      <c r="T163" s="60"/>
      <c r="U163" s="60"/>
      <c r="V163" s="60"/>
      <c r="W163" s="60"/>
      <c r="X163" s="60"/>
      <c r="Y163" s="60"/>
      <c r="Z163" s="60"/>
    </row>
    <row r="164">
      <c r="A164" s="60"/>
      <c r="B164" s="60"/>
      <c r="C164" s="60"/>
      <c r="D164" s="60"/>
      <c r="E164" s="60"/>
      <c r="F164" s="60"/>
      <c r="G164" s="60"/>
      <c r="H164" s="60"/>
      <c r="I164" s="60"/>
      <c r="J164" s="60"/>
      <c r="K164" s="60"/>
      <c r="L164" s="60"/>
      <c r="M164" s="60"/>
      <c r="N164" s="60"/>
      <c r="O164" s="60"/>
      <c r="P164" s="60"/>
      <c r="Q164" s="60"/>
      <c r="R164" s="60"/>
      <c r="S164" s="60"/>
      <c r="T164" s="60"/>
      <c r="U164" s="60"/>
      <c r="V164" s="60"/>
      <c r="W164" s="60"/>
      <c r="X164" s="60"/>
      <c r="Y164" s="60"/>
      <c r="Z164" s="60"/>
    </row>
    <row r="165">
      <c r="A165" s="60"/>
      <c r="B165" s="60"/>
      <c r="C165" s="60"/>
      <c r="D165" s="60"/>
      <c r="E165" s="60"/>
      <c r="F165" s="60"/>
      <c r="G165" s="60"/>
      <c r="H165" s="60"/>
      <c r="I165" s="60"/>
      <c r="J165" s="60"/>
      <c r="K165" s="60"/>
      <c r="L165" s="60"/>
      <c r="M165" s="60"/>
      <c r="N165" s="60"/>
      <c r="O165" s="60"/>
      <c r="P165" s="60"/>
      <c r="Q165" s="60"/>
      <c r="R165" s="60"/>
      <c r="S165" s="60"/>
      <c r="T165" s="60"/>
      <c r="U165" s="60"/>
      <c r="V165" s="60"/>
      <c r="W165" s="60"/>
      <c r="X165" s="60"/>
      <c r="Y165" s="60"/>
      <c r="Z165" s="60"/>
    </row>
    <row r="166">
      <c r="A166" s="60"/>
      <c r="B166" s="60"/>
      <c r="C166" s="60"/>
      <c r="D166" s="60"/>
      <c r="E166" s="60"/>
      <c r="F166" s="60"/>
      <c r="G166" s="60"/>
      <c r="H166" s="60"/>
      <c r="I166" s="60"/>
      <c r="J166" s="60"/>
      <c r="K166" s="60"/>
      <c r="L166" s="60"/>
      <c r="M166" s="60"/>
      <c r="N166" s="60"/>
      <c r="O166" s="60"/>
      <c r="P166" s="60"/>
      <c r="Q166" s="60"/>
      <c r="R166" s="60"/>
      <c r="S166" s="60"/>
      <c r="T166" s="60"/>
      <c r="U166" s="60"/>
      <c r="V166" s="60"/>
      <c r="W166" s="60"/>
      <c r="X166" s="60"/>
      <c r="Y166" s="60"/>
      <c r="Z166" s="60"/>
    </row>
    <row r="167">
      <c r="A167" s="60"/>
      <c r="B167" s="60"/>
      <c r="C167" s="60"/>
      <c r="D167" s="60"/>
      <c r="E167" s="60"/>
      <c r="F167" s="60"/>
      <c r="G167" s="60"/>
      <c r="H167" s="60"/>
      <c r="I167" s="60"/>
      <c r="J167" s="60"/>
      <c r="K167" s="60"/>
      <c r="L167" s="60"/>
      <c r="M167" s="60"/>
      <c r="N167" s="60"/>
      <c r="O167" s="60"/>
      <c r="P167" s="60"/>
      <c r="Q167" s="60"/>
      <c r="R167" s="60"/>
      <c r="S167" s="60"/>
      <c r="T167" s="60"/>
      <c r="U167" s="60"/>
      <c r="V167" s="60"/>
      <c r="W167" s="60"/>
      <c r="X167" s="60"/>
      <c r="Y167" s="60"/>
      <c r="Z167" s="60"/>
    </row>
    <row r="168">
      <c r="A168" s="60"/>
      <c r="B168" s="60"/>
      <c r="C168" s="60"/>
      <c r="D168" s="60"/>
      <c r="E168" s="60"/>
      <c r="F168" s="60"/>
      <c r="G168" s="60"/>
      <c r="H168" s="60"/>
      <c r="I168" s="60"/>
      <c r="J168" s="60"/>
      <c r="K168" s="60"/>
      <c r="L168" s="60"/>
      <c r="M168" s="60"/>
      <c r="N168" s="60"/>
      <c r="O168" s="60"/>
      <c r="P168" s="60"/>
      <c r="Q168" s="60"/>
      <c r="R168" s="60"/>
      <c r="S168" s="60"/>
      <c r="T168" s="60"/>
      <c r="U168" s="60"/>
      <c r="V168" s="60"/>
      <c r="W168" s="60"/>
      <c r="X168" s="60"/>
      <c r="Y168" s="60"/>
      <c r="Z168" s="60"/>
    </row>
    <row r="169">
      <c r="A169" s="60"/>
      <c r="B169" s="60"/>
      <c r="C169" s="60"/>
      <c r="D169" s="60"/>
      <c r="E169" s="60"/>
      <c r="F169" s="60"/>
      <c r="G169" s="60"/>
      <c r="H169" s="60"/>
      <c r="I169" s="60"/>
      <c r="J169" s="60"/>
      <c r="K169" s="60"/>
      <c r="L169" s="60"/>
      <c r="M169" s="60"/>
      <c r="N169" s="60"/>
      <c r="O169" s="60"/>
      <c r="P169" s="60"/>
      <c r="Q169" s="60"/>
      <c r="R169" s="60"/>
      <c r="S169" s="60"/>
      <c r="T169" s="60"/>
      <c r="U169" s="60"/>
      <c r="V169" s="60"/>
      <c r="W169" s="60"/>
      <c r="X169" s="60"/>
      <c r="Y169" s="60"/>
      <c r="Z169" s="60"/>
    </row>
    <row r="170">
      <c r="A170" s="60"/>
      <c r="B170" s="60"/>
      <c r="C170" s="60"/>
      <c r="D170" s="60"/>
      <c r="E170" s="60"/>
      <c r="F170" s="60"/>
      <c r="G170" s="60"/>
      <c r="H170" s="60"/>
      <c r="I170" s="60"/>
      <c r="J170" s="60"/>
      <c r="K170" s="60"/>
      <c r="L170" s="60"/>
      <c r="M170" s="60"/>
      <c r="N170" s="60"/>
      <c r="O170" s="60"/>
      <c r="P170" s="60"/>
      <c r="Q170" s="60"/>
      <c r="R170" s="60"/>
      <c r="S170" s="60"/>
      <c r="T170" s="60"/>
      <c r="U170" s="60"/>
      <c r="V170" s="60"/>
      <c r="W170" s="60"/>
      <c r="X170" s="60"/>
      <c r="Y170" s="60"/>
      <c r="Z170" s="60"/>
    </row>
    <row r="171">
      <c r="A171" s="60"/>
      <c r="B171" s="60"/>
      <c r="C171" s="60"/>
      <c r="D171" s="60"/>
      <c r="E171" s="60"/>
      <c r="F171" s="60"/>
      <c r="G171" s="60"/>
      <c r="H171" s="60"/>
      <c r="I171" s="60"/>
      <c r="J171" s="60"/>
      <c r="K171" s="60"/>
      <c r="L171" s="60"/>
      <c r="M171" s="60"/>
      <c r="N171" s="60"/>
      <c r="O171" s="60"/>
      <c r="P171" s="60"/>
      <c r="Q171" s="60"/>
      <c r="R171" s="60"/>
      <c r="S171" s="60"/>
      <c r="T171" s="60"/>
      <c r="U171" s="60"/>
      <c r="V171" s="60"/>
      <c r="W171" s="60"/>
      <c r="X171" s="60"/>
      <c r="Y171" s="60"/>
      <c r="Z171" s="60"/>
    </row>
    <row r="172">
      <c r="A172" s="60"/>
      <c r="B172" s="60"/>
      <c r="C172" s="60"/>
      <c r="D172" s="60"/>
      <c r="E172" s="60"/>
      <c r="F172" s="60"/>
      <c r="G172" s="60"/>
      <c r="H172" s="60"/>
      <c r="I172" s="60"/>
      <c r="J172" s="60"/>
      <c r="K172" s="60"/>
      <c r="L172" s="60"/>
      <c r="M172" s="60"/>
      <c r="N172" s="60"/>
      <c r="O172" s="60"/>
      <c r="P172" s="60"/>
      <c r="Q172" s="60"/>
      <c r="R172" s="60"/>
      <c r="S172" s="60"/>
      <c r="T172" s="60"/>
      <c r="U172" s="60"/>
      <c r="V172" s="60"/>
      <c r="W172" s="60"/>
      <c r="X172" s="60"/>
      <c r="Y172" s="60"/>
      <c r="Z172" s="60"/>
    </row>
    <row r="173">
      <c r="A173" s="60"/>
      <c r="B173" s="60"/>
      <c r="C173" s="60"/>
      <c r="D173" s="60"/>
      <c r="E173" s="60"/>
      <c r="F173" s="60"/>
      <c r="G173" s="60"/>
      <c r="H173" s="60"/>
      <c r="I173" s="60"/>
      <c r="J173" s="60"/>
      <c r="K173" s="60"/>
      <c r="L173" s="60"/>
      <c r="M173" s="60"/>
      <c r="N173" s="60"/>
      <c r="O173" s="60"/>
      <c r="P173" s="60"/>
      <c r="Q173" s="60"/>
      <c r="R173" s="60"/>
      <c r="S173" s="60"/>
      <c r="T173" s="60"/>
      <c r="U173" s="60"/>
      <c r="V173" s="60"/>
      <c r="W173" s="60"/>
      <c r="X173" s="60"/>
      <c r="Y173" s="60"/>
      <c r="Z173" s="60"/>
    </row>
    <row r="174">
      <c r="A174" s="60"/>
      <c r="B174" s="60"/>
      <c r="C174" s="60"/>
      <c r="D174" s="60"/>
      <c r="E174" s="60"/>
      <c r="F174" s="60"/>
      <c r="G174" s="60"/>
      <c r="H174" s="60"/>
      <c r="I174" s="60"/>
      <c r="J174" s="60"/>
      <c r="K174" s="60"/>
      <c r="L174" s="60"/>
      <c r="M174" s="60"/>
      <c r="N174" s="60"/>
      <c r="O174" s="60"/>
      <c r="P174" s="60"/>
      <c r="Q174" s="60"/>
      <c r="R174" s="60"/>
      <c r="S174" s="60"/>
      <c r="T174" s="60"/>
      <c r="U174" s="60"/>
      <c r="V174" s="60"/>
      <c r="W174" s="60"/>
      <c r="X174" s="60"/>
      <c r="Y174" s="60"/>
      <c r="Z174" s="60"/>
    </row>
    <row r="175">
      <c r="A175" s="60"/>
      <c r="B175" s="60"/>
      <c r="C175" s="60"/>
      <c r="D175" s="60"/>
      <c r="E175" s="60"/>
      <c r="F175" s="60"/>
      <c r="G175" s="60"/>
      <c r="H175" s="60"/>
      <c r="I175" s="60"/>
      <c r="J175" s="60"/>
      <c r="K175" s="60"/>
      <c r="L175" s="60"/>
      <c r="M175" s="60"/>
      <c r="N175" s="60"/>
      <c r="O175" s="60"/>
      <c r="P175" s="60"/>
      <c r="Q175" s="60"/>
      <c r="R175" s="60"/>
      <c r="S175" s="60"/>
      <c r="T175" s="60"/>
      <c r="U175" s="60"/>
      <c r="V175" s="60"/>
      <c r="W175" s="60"/>
      <c r="X175" s="60"/>
      <c r="Y175" s="60"/>
      <c r="Z175" s="60"/>
    </row>
    <row r="176">
      <c r="A176" s="60"/>
      <c r="B176" s="60"/>
      <c r="C176" s="60"/>
      <c r="D176" s="60"/>
      <c r="E176" s="60"/>
      <c r="F176" s="60"/>
      <c r="G176" s="60"/>
      <c r="H176" s="60"/>
      <c r="I176" s="60"/>
      <c r="J176" s="60"/>
      <c r="K176" s="60"/>
      <c r="L176" s="60"/>
      <c r="M176" s="60"/>
      <c r="N176" s="60"/>
      <c r="O176" s="60"/>
      <c r="P176" s="60"/>
      <c r="Q176" s="60"/>
      <c r="R176" s="60"/>
      <c r="S176" s="60"/>
      <c r="T176" s="60"/>
      <c r="U176" s="60"/>
      <c r="V176" s="60"/>
      <c r="W176" s="60"/>
      <c r="X176" s="60"/>
      <c r="Y176" s="60"/>
      <c r="Z176" s="60"/>
    </row>
    <row r="177">
      <c r="A177" s="60"/>
      <c r="B177" s="60"/>
      <c r="C177" s="60"/>
      <c r="D177" s="60"/>
      <c r="E177" s="60"/>
      <c r="F177" s="60"/>
      <c r="G177" s="60"/>
      <c r="H177" s="60"/>
      <c r="I177" s="60"/>
      <c r="J177" s="60"/>
      <c r="K177" s="60"/>
      <c r="L177" s="60"/>
      <c r="M177" s="60"/>
      <c r="N177" s="60"/>
      <c r="O177" s="60"/>
      <c r="P177" s="60"/>
      <c r="Q177" s="60"/>
      <c r="R177" s="60"/>
      <c r="S177" s="60"/>
      <c r="T177" s="60"/>
      <c r="U177" s="60"/>
      <c r="V177" s="60"/>
      <c r="W177" s="60"/>
      <c r="X177" s="60"/>
      <c r="Y177" s="60"/>
      <c r="Z177" s="60"/>
    </row>
    <row r="178">
      <c r="A178" s="60"/>
      <c r="B178" s="60"/>
      <c r="C178" s="60"/>
      <c r="D178" s="60"/>
      <c r="E178" s="60"/>
      <c r="F178" s="60"/>
      <c r="G178" s="60"/>
      <c r="H178" s="60"/>
      <c r="I178" s="60"/>
      <c r="J178" s="60"/>
      <c r="K178" s="60"/>
      <c r="L178" s="60"/>
      <c r="M178" s="60"/>
      <c r="N178" s="60"/>
      <c r="O178" s="60"/>
      <c r="P178" s="60"/>
      <c r="Q178" s="60"/>
      <c r="R178" s="60"/>
      <c r="S178" s="60"/>
      <c r="T178" s="60"/>
      <c r="U178" s="60"/>
      <c r="V178" s="60"/>
      <c r="W178" s="60"/>
      <c r="X178" s="60"/>
      <c r="Y178" s="60"/>
      <c r="Z178" s="60"/>
    </row>
    <row r="179">
      <c r="A179" s="60"/>
      <c r="B179" s="60"/>
      <c r="C179" s="60"/>
      <c r="D179" s="60"/>
      <c r="E179" s="60"/>
      <c r="F179" s="60"/>
      <c r="G179" s="60"/>
      <c r="H179" s="60"/>
      <c r="I179" s="60"/>
      <c r="J179" s="60"/>
      <c r="K179" s="60"/>
      <c r="L179" s="60"/>
      <c r="M179" s="60"/>
      <c r="N179" s="60"/>
      <c r="O179" s="60"/>
      <c r="P179" s="60"/>
      <c r="Q179" s="60"/>
      <c r="R179" s="60"/>
      <c r="S179" s="60"/>
      <c r="T179" s="60"/>
      <c r="U179" s="60"/>
      <c r="V179" s="60"/>
      <c r="W179" s="60"/>
      <c r="X179" s="60"/>
      <c r="Y179" s="60"/>
      <c r="Z179" s="60"/>
    </row>
    <row r="180">
      <c r="A180" s="60"/>
      <c r="B180" s="60"/>
      <c r="C180" s="60"/>
      <c r="D180" s="60"/>
      <c r="E180" s="60"/>
      <c r="F180" s="60"/>
      <c r="G180" s="60"/>
      <c r="H180" s="60"/>
      <c r="I180" s="60"/>
      <c r="J180" s="60"/>
      <c r="K180" s="60"/>
      <c r="L180" s="60"/>
      <c r="M180" s="60"/>
      <c r="N180" s="60"/>
      <c r="O180" s="60"/>
      <c r="P180" s="60"/>
      <c r="Q180" s="60"/>
      <c r="R180" s="60"/>
      <c r="S180" s="60"/>
      <c r="T180" s="60"/>
      <c r="U180" s="60"/>
      <c r="V180" s="60"/>
      <c r="W180" s="60"/>
      <c r="X180" s="60"/>
      <c r="Y180" s="60"/>
      <c r="Z180" s="60"/>
    </row>
    <row r="181">
      <c r="A181" s="60"/>
      <c r="B181" s="60"/>
      <c r="C181" s="60"/>
      <c r="D181" s="60"/>
      <c r="E181" s="60"/>
      <c r="F181" s="60"/>
      <c r="G181" s="60"/>
      <c r="H181" s="60"/>
      <c r="I181" s="60"/>
      <c r="J181" s="60"/>
      <c r="K181" s="60"/>
      <c r="L181" s="60"/>
      <c r="M181" s="60"/>
      <c r="N181" s="60"/>
      <c r="O181" s="60"/>
      <c r="P181" s="60"/>
      <c r="Q181" s="60"/>
      <c r="R181" s="60"/>
      <c r="S181" s="60"/>
      <c r="T181" s="60"/>
      <c r="U181" s="60"/>
      <c r="V181" s="60"/>
      <c r="W181" s="60"/>
      <c r="X181" s="60"/>
      <c r="Y181" s="60"/>
      <c r="Z181" s="60"/>
    </row>
    <row r="182">
      <c r="A182" s="60"/>
      <c r="B182" s="60"/>
      <c r="C182" s="60"/>
      <c r="D182" s="60"/>
      <c r="E182" s="60"/>
      <c r="F182" s="60"/>
      <c r="G182" s="60"/>
      <c r="H182" s="60"/>
      <c r="I182" s="60"/>
      <c r="J182" s="60"/>
      <c r="K182" s="60"/>
      <c r="L182" s="60"/>
      <c r="M182" s="60"/>
      <c r="N182" s="60"/>
      <c r="O182" s="60"/>
      <c r="P182" s="60"/>
      <c r="Q182" s="60"/>
      <c r="R182" s="60"/>
      <c r="S182" s="60"/>
      <c r="T182" s="60"/>
      <c r="U182" s="60"/>
      <c r="V182" s="60"/>
      <c r="W182" s="60"/>
      <c r="X182" s="60"/>
      <c r="Y182" s="60"/>
      <c r="Z182" s="60"/>
    </row>
    <row r="183">
      <c r="A183" s="60"/>
      <c r="B183" s="60"/>
      <c r="C183" s="60"/>
      <c r="D183" s="60"/>
      <c r="E183" s="60"/>
      <c r="F183" s="60"/>
      <c r="G183" s="60"/>
      <c r="H183" s="60"/>
      <c r="I183" s="60"/>
      <c r="J183" s="60"/>
      <c r="K183" s="60"/>
      <c r="L183" s="60"/>
      <c r="M183" s="60"/>
      <c r="N183" s="60"/>
      <c r="O183" s="60"/>
      <c r="P183" s="60"/>
      <c r="Q183" s="60"/>
      <c r="R183" s="60"/>
      <c r="S183" s="60"/>
      <c r="T183" s="60"/>
      <c r="U183" s="60"/>
      <c r="V183" s="60"/>
      <c r="W183" s="60"/>
      <c r="X183" s="60"/>
      <c r="Y183" s="60"/>
      <c r="Z183" s="60"/>
    </row>
    <row r="184">
      <c r="A184" s="60"/>
      <c r="B184" s="60"/>
      <c r="C184" s="60"/>
      <c r="D184" s="60"/>
      <c r="E184" s="60"/>
      <c r="F184" s="60"/>
      <c r="G184" s="60"/>
      <c r="H184" s="60"/>
      <c r="I184" s="60"/>
      <c r="J184" s="60"/>
      <c r="K184" s="60"/>
      <c r="L184" s="60"/>
      <c r="M184" s="60"/>
      <c r="N184" s="60"/>
      <c r="O184" s="60"/>
      <c r="P184" s="60"/>
      <c r="Q184" s="60"/>
      <c r="R184" s="60"/>
      <c r="S184" s="60"/>
      <c r="T184" s="60"/>
      <c r="U184" s="60"/>
      <c r="V184" s="60"/>
      <c r="W184" s="60"/>
      <c r="X184" s="60"/>
      <c r="Y184" s="60"/>
      <c r="Z184" s="60"/>
    </row>
    <row r="185">
      <c r="A185" s="60"/>
      <c r="B185" s="60"/>
      <c r="C185" s="60"/>
      <c r="D185" s="60"/>
      <c r="E185" s="60"/>
      <c r="F185" s="60"/>
      <c r="G185" s="60"/>
      <c r="H185" s="60"/>
      <c r="I185" s="60"/>
      <c r="J185" s="60"/>
      <c r="K185" s="60"/>
      <c r="L185" s="60"/>
      <c r="M185" s="60"/>
      <c r="N185" s="60"/>
      <c r="O185" s="60"/>
      <c r="P185" s="60"/>
      <c r="Q185" s="60"/>
      <c r="R185" s="60"/>
      <c r="S185" s="60"/>
      <c r="T185" s="60"/>
      <c r="U185" s="60"/>
      <c r="V185" s="60"/>
      <c r="W185" s="60"/>
      <c r="X185" s="60"/>
      <c r="Y185" s="60"/>
      <c r="Z185" s="60"/>
    </row>
    <row r="186">
      <c r="A186" s="60"/>
      <c r="B186" s="60"/>
      <c r="C186" s="60"/>
      <c r="D186" s="60"/>
      <c r="E186" s="60"/>
      <c r="F186" s="60"/>
      <c r="G186" s="60"/>
      <c r="H186" s="60"/>
      <c r="I186" s="60"/>
      <c r="J186" s="60"/>
      <c r="K186" s="60"/>
      <c r="L186" s="60"/>
      <c r="M186" s="60"/>
      <c r="N186" s="60"/>
      <c r="O186" s="60"/>
      <c r="P186" s="60"/>
      <c r="Q186" s="60"/>
      <c r="R186" s="60"/>
      <c r="S186" s="60"/>
      <c r="T186" s="60"/>
      <c r="U186" s="60"/>
      <c r="V186" s="60"/>
      <c r="W186" s="60"/>
      <c r="X186" s="60"/>
      <c r="Y186" s="60"/>
      <c r="Z186" s="60"/>
    </row>
    <row r="187">
      <c r="A187" s="60"/>
      <c r="B187" s="60"/>
      <c r="C187" s="60"/>
      <c r="D187" s="60"/>
      <c r="E187" s="60"/>
      <c r="F187" s="60"/>
      <c r="G187" s="60"/>
      <c r="H187" s="60"/>
      <c r="I187" s="60"/>
      <c r="J187" s="60"/>
      <c r="K187" s="60"/>
      <c r="L187" s="60"/>
      <c r="M187" s="60"/>
      <c r="N187" s="60"/>
      <c r="O187" s="60"/>
      <c r="P187" s="60"/>
      <c r="Q187" s="60"/>
      <c r="R187" s="60"/>
      <c r="S187" s="60"/>
      <c r="T187" s="60"/>
      <c r="U187" s="60"/>
      <c r="V187" s="60"/>
      <c r="W187" s="60"/>
      <c r="X187" s="60"/>
      <c r="Y187" s="60"/>
      <c r="Z187" s="60"/>
    </row>
    <row r="188">
      <c r="A188" s="60"/>
      <c r="B188" s="60"/>
      <c r="C188" s="60"/>
      <c r="D188" s="60"/>
      <c r="E188" s="60"/>
      <c r="F188" s="60"/>
      <c r="G188" s="60"/>
      <c r="H188" s="60"/>
      <c r="I188" s="60"/>
      <c r="J188" s="60"/>
      <c r="K188" s="60"/>
      <c r="L188" s="60"/>
      <c r="M188" s="60"/>
      <c r="N188" s="60"/>
      <c r="O188" s="60"/>
      <c r="P188" s="60"/>
      <c r="Q188" s="60"/>
      <c r="R188" s="60"/>
      <c r="S188" s="60"/>
      <c r="T188" s="60"/>
      <c r="U188" s="60"/>
      <c r="V188" s="60"/>
      <c r="W188" s="60"/>
      <c r="X188" s="60"/>
      <c r="Y188" s="60"/>
      <c r="Z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1" t="s">
        <v>3</v>
      </c>
      <c r="B1" s="62"/>
      <c r="C1" s="62"/>
      <c r="D1" s="62"/>
      <c r="E1" s="63"/>
      <c r="F1" s="2"/>
      <c r="G1" s="2"/>
      <c r="H1" s="2"/>
      <c r="I1" s="2"/>
      <c r="J1" s="2"/>
      <c r="K1" s="2"/>
      <c r="L1" s="2"/>
      <c r="M1" s="2"/>
      <c r="N1" s="2"/>
      <c r="O1" s="2"/>
      <c r="P1" s="2"/>
      <c r="Q1" s="2"/>
      <c r="R1" s="2"/>
      <c r="S1" s="2"/>
      <c r="T1" s="2"/>
      <c r="U1" s="2"/>
      <c r="V1" s="2"/>
      <c r="W1" s="2"/>
      <c r="X1" s="2"/>
      <c r="Y1" s="2"/>
      <c r="Z1" s="2"/>
    </row>
    <row r="2">
      <c r="A2" s="64"/>
      <c r="B2" s="65">
        <v>2021.0</v>
      </c>
      <c r="C2" s="65">
        <v>2022.0</v>
      </c>
      <c r="D2" s="65">
        <v>2023.0</v>
      </c>
      <c r="E2" s="66">
        <v>2024.0</v>
      </c>
      <c r="F2" s="2"/>
      <c r="G2" s="2"/>
      <c r="H2" s="2"/>
      <c r="I2" s="2"/>
      <c r="J2" s="2"/>
      <c r="K2" s="2"/>
      <c r="L2" s="2"/>
      <c r="M2" s="2"/>
      <c r="N2" s="2"/>
      <c r="O2" s="2"/>
      <c r="P2" s="2"/>
      <c r="Q2" s="2"/>
      <c r="R2" s="2"/>
      <c r="S2" s="2"/>
      <c r="T2" s="2"/>
      <c r="U2" s="2"/>
      <c r="V2" s="2"/>
      <c r="W2" s="2"/>
      <c r="X2" s="2"/>
      <c r="Y2" s="2"/>
      <c r="Z2" s="2"/>
    </row>
    <row r="3">
      <c r="A3" s="67" t="s">
        <v>56</v>
      </c>
      <c r="B3" s="68">
        <v>7.5539904E7</v>
      </c>
      <c r="C3" s="68">
        <v>6.171330550000001E7</v>
      </c>
      <c r="D3" s="68">
        <v>5.75353625E7</v>
      </c>
      <c r="E3" s="69">
        <v>5.54779225E7</v>
      </c>
      <c r="F3" s="2"/>
      <c r="G3" s="2"/>
      <c r="H3" s="2"/>
      <c r="I3" s="2"/>
      <c r="J3" s="2"/>
      <c r="K3" s="2"/>
      <c r="L3" s="2"/>
      <c r="M3" s="2"/>
      <c r="N3" s="2"/>
      <c r="O3" s="2"/>
      <c r="P3" s="2"/>
      <c r="Q3" s="2"/>
      <c r="R3" s="2"/>
      <c r="S3" s="2"/>
      <c r="T3" s="2"/>
      <c r="U3" s="2"/>
      <c r="V3" s="2"/>
      <c r="W3" s="2"/>
      <c r="X3" s="2"/>
      <c r="Y3" s="2"/>
      <c r="Z3" s="2"/>
    </row>
    <row r="4">
      <c r="A4" s="67">
        <v>2021.0</v>
      </c>
      <c r="B4" s="68">
        <v>1.3186955649999999E8</v>
      </c>
      <c r="C4" s="68">
        <v>5.2597105E7</v>
      </c>
      <c r="D4" s="68">
        <v>4.5025838E7</v>
      </c>
      <c r="E4" s="69">
        <v>4.1006845E7</v>
      </c>
      <c r="F4" s="2"/>
      <c r="G4" s="2"/>
      <c r="H4" s="2"/>
      <c r="I4" s="2"/>
      <c r="J4" s="2"/>
      <c r="K4" s="2"/>
      <c r="L4" s="2"/>
      <c r="M4" s="2"/>
      <c r="N4" s="2"/>
      <c r="O4" s="2"/>
      <c r="P4" s="2"/>
      <c r="Q4" s="2"/>
      <c r="R4" s="2"/>
      <c r="S4" s="2"/>
      <c r="T4" s="2"/>
      <c r="U4" s="2"/>
      <c r="V4" s="2"/>
      <c r="W4" s="2"/>
      <c r="X4" s="2"/>
      <c r="Y4" s="2"/>
      <c r="Z4" s="2"/>
    </row>
    <row r="5">
      <c r="A5" s="67">
        <v>2022.0</v>
      </c>
      <c r="B5" s="68">
        <v>0.0</v>
      </c>
      <c r="C5" s="68">
        <v>1.061519525E8</v>
      </c>
      <c r="D5" s="68">
        <v>4.0414088E7</v>
      </c>
      <c r="E5" s="69">
        <v>3.1974173E7</v>
      </c>
      <c r="F5" s="2"/>
      <c r="G5" s="2"/>
      <c r="H5" s="2"/>
      <c r="I5" s="2"/>
      <c r="J5" s="2"/>
      <c r="K5" s="2"/>
      <c r="L5" s="2"/>
      <c r="M5" s="2"/>
      <c r="N5" s="2"/>
      <c r="O5" s="2"/>
      <c r="P5" s="2"/>
      <c r="Q5" s="2"/>
      <c r="R5" s="2"/>
      <c r="S5" s="2"/>
      <c r="T5" s="2"/>
      <c r="U5" s="2"/>
      <c r="V5" s="2"/>
      <c r="W5" s="2"/>
      <c r="X5" s="2"/>
      <c r="Y5" s="2"/>
      <c r="Z5" s="2"/>
    </row>
    <row r="6">
      <c r="A6" s="67">
        <v>2023.0</v>
      </c>
      <c r="B6" s="68">
        <v>0.0</v>
      </c>
      <c r="C6" s="68">
        <v>0.0</v>
      </c>
      <c r="D6" s="68">
        <v>1.2317463399999999E8</v>
      </c>
      <c r="E6" s="69">
        <v>4.4414436E7</v>
      </c>
      <c r="F6" s="2"/>
      <c r="G6" s="2"/>
      <c r="H6" s="2"/>
      <c r="I6" s="2"/>
      <c r="J6" s="2"/>
      <c r="K6" s="2"/>
      <c r="L6" s="2"/>
      <c r="M6" s="2"/>
      <c r="N6" s="2"/>
      <c r="O6" s="2"/>
      <c r="P6" s="2"/>
      <c r="Q6" s="2"/>
      <c r="R6" s="2"/>
      <c r="S6" s="2"/>
      <c r="T6" s="2"/>
      <c r="U6" s="2"/>
      <c r="V6" s="2"/>
      <c r="W6" s="2"/>
      <c r="X6" s="2"/>
      <c r="Y6" s="2"/>
      <c r="Z6" s="2"/>
    </row>
    <row r="7">
      <c r="A7" s="67">
        <v>2024.0</v>
      </c>
      <c r="B7" s="68">
        <v>0.0</v>
      </c>
      <c r="C7" s="68">
        <v>0.0</v>
      </c>
      <c r="D7" s="68">
        <v>0.0</v>
      </c>
      <c r="E7" s="69">
        <v>1.527273275E8</v>
      </c>
      <c r="F7" s="2"/>
      <c r="G7" s="2"/>
      <c r="H7" s="2"/>
      <c r="I7" s="2"/>
      <c r="J7" s="2"/>
      <c r="K7" s="2"/>
      <c r="L7" s="2"/>
      <c r="M7" s="2"/>
      <c r="N7" s="2"/>
      <c r="O7" s="2"/>
      <c r="P7" s="2"/>
      <c r="Q7" s="2"/>
      <c r="R7" s="2"/>
      <c r="S7" s="2"/>
      <c r="T7" s="2"/>
      <c r="U7" s="2"/>
      <c r="V7" s="2"/>
      <c r="W7" s="2"/>
      <c r="X7" s="2"/>
      <c r="Y7" s="2"/>
      <c r="Z7" s="2"/>
    </row>
    <row r="8">
      <c r="A8" s="64"/>
      <c r="B8" s="70"/>
      <c r="C8" s="70"/>
      <c r="D8" s="70"/>
      <c r="E8" s="71"/>
      <c r="F8" s="2"/>
      <c r="G8" s="2"/>
      <c r="H8" s="2"/>
      <c r="I8" s="2"/>
      <c r="J8" s="2"/>
      <c r="K8" s="2"/>
      <c r="L8" s="2"/>
      <c r="M8" s="2"/>
      <c r="N8" s="2"/>
      <c r="O8" s="2"/>
      <c r="P8" s="2"/>
      <c r="Q8" s="2"/>
      <c r="R8" s="2"/>
      <c r="S8" s="2"/>
      <c r="T8" s="2"/>
      <c r="U8" s="2"/>
      <c r="V8" s="2"/>
      <c r="W8" s="2"/>
      <c r="X8" s="2"/>
      <c r="Y8" s="2"/>
      <c r="Z8" s="2"/>
    </row>
    <row r="9">
      <c r="A9" s="72" t="s">
        <v>4</v>
      </c>
      <c r="B9" s="70"/>
      <c r="C9" s="70"/>
      <c r="D9" s="70"/>
      <c r="E9" s="71"/>
      <c r="F9" s="2"/>
      <c r="G9" s="2"/>
      <c r="H9" s="2"/>
      <c r="I9" s="2"/>
      <c r="J9" s="2"/>
      <c r="K9" s="2"/>
      <c r="L9" s="2"/>
      <c r="M9" s="2"/>
      <c r="N9" s="2"/>
      <c r="O9" s="2"/>
      <c r="P9" s="2"/>
      <c r="Q9" s="2"/>
      <c r="R9" s="2"/>
      <c r="S9" s="2"/>
      <c r="T9" s="2"/>
      <c r="U9" s="2"/>
      <c r="V9" s="2"/>
      <c r="W9" s="2"/>
      <c r="X9" s="2"/>
      <c r="Y9" s="2"/>
      <c r="Z9" s="2"/>
    </row>
    <row r="10">
      <c r="A10" s="64"/>
      <c r="B10" s="65">
        <v>2021.0</v>
      </c>
      <c r="C10" s="65">
        <v>2022.0</v>
      </c>
      <c r="D10" s="65">
        <v>2023.0</v>
      </c>
      <c r="E10" s="66">
        <v>2024.0</v>
      </c>
      <c r="F10" s="2"/>
      <c r="G10" s="2"/>
      <c r="H10" s="2"/>
      <c r="I10" s="2"/>
      <c r="J10" s="2"/>
      <c r="K10" s="2"/>
      <c r="L10" s="2"/>
      <c r="M10" s="2"/>
      <c r="N10" s="2"/>
      <c r="O10" s="2"/>
      <c r="P10" s="2"/>
      <c r="Q10" s="2"/>
      <c r="R10" s="2"/>
      <c r="S10" s="2"/>
      <c r="T10" s="2"/>
      <c r="U10" s="2"/>
      <c r="V10" s="2"/>
      <c r="W10" s="2"/>
      <c r="X10" s="2"/>
      <c r="Y10" s="2"/>
      <c r="Z10" s="2"/>
    </row>
    <row r="11">
      <c r="A11" s="67" t="s">
        <v>56</v>
      </c>
      <c r="B11" s="68">
        <v>3.74877415E7</v>
      </c>
      <c r="C11" s="68">
        <v>3.0335338E7</v>
      </c>
      <c r="D11" s="68">
        <v>2.74854745E7</v>
      </c>
      <c r="E11" s="69">
        <v>2.6831497E7</v>
      </c>
      <c r="F11" s="2"/>
      <c r="G11" s="2"/>
      <c r="H11" s="2"/>
      <c r="I11" s="2"/>
      <c r="J11" s="2"/>
      <c r="K11" s="2"/>
      <c r="L11" s="2"/>
      <c r="M11" s="2"/>
      <c r="N11" s="2"/>
      <c r="O11" s="2"/>
      <c r="P11" s="2"/>
      <c r="Q11" s="2"/>
      <c r="R11" s="2"/>
      <c r="S11" s="2"/>
      <c r="T11" s="2"/>
      <c r="U11" s="2"/>
      <c r="V11" s="2"/>
      <c r="W11" s="2"/>
      <c r="X11" s="2"/>
      <c r="Y11" s="2"/>
      <c r="Z11" s="2"/>
    </row>
    <row r="12">
      <c r="A12" s="67">
        <v>2021.0</v>
      </c>
      <c r="B12" s="68">
        <v>6.6061534E7</v>
      </c>
      <c r="C12" s="68">
        <v>2.5603149E7</v>
      </c>
      <c r="D12" s="68">
        <v>2.12661185E7</v>
      </c>
      <c r="E12" s="69">
        <v>1.9554051E7</v>
      </c>
      <c r="F12" s="2"/>
      <c r="G12" s="2"/>
      <c r="H12" s="2"/>
      <c r="I12" s="2"/>
      <c r="J12" s="2"/>
      <c r="K12" s="2"/>
      <c r="L12" s="2"/>
      <c r="M12" s="2"/>
      <c r="N12" s="2"/>
      <c r="O12" s="2"/>
      <c r="P12" s="2"/>
      <c r="Q12" s="2"/>
      <c r="R12" s="2"/>
      <c r="S12" s="2"/>
      <c r="T12" s="2"/>
      <c r="U12" s="2"/>
      <c r="V12" s="2"/>
      <c r="W12" s="2"/>
      <c r="X12" s="2"/>
      <c r="Y12" s="2"/>
      <c r="Z12" s="2"/>
    </row>
    <row r="13">
      <c r="A13" s="67">
        <v>2022.0</v>
      </c>
      <c r="B13" s="68">
        <v>0.0</v>
      </c>
      <c r="C13" s="68">
        <v>5.19678335E7</v>
      </c>
      <c r="D13" s="68">
        <v>1.9015788E7</v>
      </c>
      <c r="E13" s="69">
        <v>1.52587985E7</v>
      </c>
      <c r="F13" s="2"/>
      <c r="G13" s="2"/>
      <c r="H13" s="2"/>
      <c r="I13" s="2"/>
      <c r="J13" s="2"/>
      <c r="K13" s="2"/>
      <c r="L13" s="2"/>
      <c r="M13" s="2"/>
      <c r="N13" s="2"/>
      <c r="O13" s="2"/>
      <c r="P13" s="2"/>
      <c r="Q13" s="2"/>
      <c r="R13" s="2"/>
      <c r="S13" s="2"/>
      <c r="T13" s="2"/>
      <c r="U13" s="2"/>
      <c r="V13" s="2"/>
      <c r="W13" s="2"/>
      <c r="X13" s="2"/>
      <c r="Y13" s="2"/>
      <c r="Z13" s="2"/>
    </row>
    <row r="14">
      <c r="A14" s="67">
        <v>2023.0</v>
      </c>
      <c r="B14" s="68">
        <v>0.0</v>
      </c>
      <c r="C14" s="68">
        <v>0.0</v>
      </c>
      <c r="D14" s="68">
        <v>5.9071749E7</v>
      </c>
      <c r="E14" s="69">
        <v>2.09702955E7</v>
      </c>
      <c r="F14" s="2"/>
      <c r="G14" s="2"/>
      <c r="H14" s="2"/>
      <c r="I14" s="2"/>
      <c r="J14" s="2"/>
      <c r="K14" s="2"/>
      <c r="L14" s="2"/>
      <c r="M14" s="2"/>
      <c r="N14" s="2"/>
      <c r="O14" s="2"/>
      <c r="P14" s="2"/>
      <c r="Q14" s="2"/>
      <c r="R14" s="2"/>
      <c r="S14" s="2"/>
      <c r="T14" s="2"/>
      <c r="U14" s="2"/>
      <c r="V14" s="2"/>
      <c r="W14" s="2"/>
      <c r="X14" s="2"/>
      <c r="Y14" s="2"/>
      <c r="Z14" s="2"/>
    </row>
    <row r="15">
      <c r="A15" s="67">
        <v>2024.0</v>
      </c>
      <c r="B15" s="68">
        <v>0.0</v>
      </c>
      <c r="C15" s="68">
        <v>0.0</v>
      </c>
      <c r="D15" s="68">
        <v>0.0</v>
      </c>
      <c r="E15" s="69">
        <v>7.3401526E7</v>
      </c>
      <c r="F15" s="2"/>
      <c r="G15" s="2"/>
      <c r="H15" s="2"/>
      <c r="I15" s="2"/>
      <c r="J15" s="2"/>
      <c r="K15" s="2"/>
      <c r="L15" s="2"/>
      <c r="M15" s="2"/>
      <c r="N15" s="2"/>
      <c r="O15" s="2"/>
      <c r="P15" s="2"/>
      <c r="Q15" s="2"/>
      <c r="R15" s="2"/>
      <c r="S15" s="2"/>
      <c r="T15" s="2"/>
      <c r="U15" s="2"/>
      <c r="V15" s="2"/>
      <c r="W15" s="2"/>
      <c r="X15" s="2"/>
      <c r="Y15" s="2"/>
      <c r="Z15" s="2"/>
    </row>
    <row r="16">
      <c r="A16" s="64"/>
      <c r="B16" s="70"/>
      <c r="C16" s="70"/>
      <c r="D16" s="70"/>
      <c r="E16" s="71"/>
      <c r="F16" s="2"/>
      <c r="G16" s="2"/>
      <c r="H16" s="2"/>
      <c r="I16" s="2"/>
      <c r="J16" s="2"/>
      <c r="K16" s="2"/>
      <c r="L16" s="2"/>
      <c r="M16" s="2"/>
      <c r="N16" s="2"/>
      <c r="O16" s="2"/>
      <c r="P16" s="2"/>
      <c r="Q16" s="2"/>
      <c r="R16" s="2"/>
      <c r="S16" s="2"/>
      <c r="T16" s="2"/>
      <c r="U16" s="2"/>
      <c r="V16" s="2"/>
      <c r="W16" s="2"/>
      <c r="X16" s="2"/>
      <c r="Y16" s="2"/>
      <c r="Z16" s="2"/>
    </row>
    <row r="17">
      <c r="A17" s="72" t="s">
        <v>1</v>
      </c>
      <c r="B17" s="70"/>
      <c r="C17" s="70"/>
      <c r="D17" s="70"/>
      <c r="E17" s="71"/>
      <c r="F17" s="2"/>
      <c r="G17" s="2"/>
      <c r="H17" s="2"/>
      <c r="I17" s="2"/>
      <c r="J17" s="2"/>
      <c r="K17" s="2"/>
      <c r="L17" s="2"/>
      <c r="M17" s="2"/>
      <c r="N17" s="2"/>
      <c r="O17" s="2"/>
      <c r="P17" s="2"/>
      <c r="Q17" s="2"/>
      <c r="R17" s="2"/>
      <c r="S17" s="2"/>
      <c r="T17" s="2"/>
      <c r="U17" s="2"/>
      <c r="V17" s="2"/>
      <c r="W17" s="2"/>
      <c r="X17" s="2"/>
      <c r="Y17" s="2"/>
      <c r="Z17" s="2"/>
    </row>
    <row r="18">
      <c r="A18" s="64"/>
      <c r="B18" s="65">
        <v>2021.0</v>
      </c>
      <c r="C18" s="65">
        <v>2022.0</v>
      </c>
      <c r="D18" s="65">
        <v>2023.0</v>
      </c>
      <c r="E18" s="66">
        <v>2024.0</v>
      </c>
      <c r="F18" s="2"/>
      <c r="G18" s="2"/>
      <c r="H18" s="2"/>
      <c r="I18" s="2"/>
      <c r="J18" s="2"/>
      <c r="K18" s="2"/>
      <c r="L18" s="2"/>
      <c r="M18" s="2"/>
      <c r="N18" s="2"/>
      <c r="O18" s="2"/>
      <c r="P18" s="2"/>
      <c r="Q18" s="2"/>
      <c r="R18" s="2"/>
      <c r="S18" s="2"/>
      <c r="T18" s="2"/>
      <c r="U18" s="2"/>
      <c r="V18" s="2"/>
      <c r="W18" s="2"/>
      <c r="X18" s="2"/>
      <c r="Y18" s="2"/>
      <c r="Z18" s="2"/>
    </row>
    <row r="19">
      <c r="A19" s="67" t="s">
        <v>56</v>
      </c>
      <c r="B19" s="68">
        <v>5751.0</v>
      </c>
      <c r="C19" s="68">
        <v>4636.0</v>
      </c>
      <c r="D19" s="68">
        <v>4233.0</v>
      </c>
      <c r="E19" s="69">
        <v>3921.0</v>
      </c>
      <c r="F19" s="2"/>
      <c r="G19" s="2"/>
      <c r="H19" s="2"/>
      <c r="I19" s="2"/>
      <c r="J19" s="2"/>
      <c r="K19" s="2"/>
      <c r="L19" s="2"/>
      <c r="M19" s="2"/>
      <c r="N19" s="2"/>
      <c r="O19" s="2"/>
      <c r="P19" s="2"/>
      <c r="Q19" s="2"/>
      <c r="R19" s="2"/>
      <c r="S19" s="2"/>
      <c r="T19" s="2"/>
      <c r="U19" s="2"/>
      <c r="V19" s="2"/>
      <c r="W19" s="2"/>
      <c r="X19" s="2"/>
      <c r="Y19" s="2"/>
      <c r="Z19" s="2"/>
    </row>
    <row r="20">
      <c r="A20" s="67">
        <v>2021.0</v>
      </c>
      <c r="B20" s="68">
        <v>14915.0</v>
      </c>
      <c r="C20" s="68">
        <v>4107.0</v>
      </c>
      <c r="D20" s="68">
        <v>3491.0</v>
      </c>
      <c r="E20" s="69">
        <v>3075.0</v>
      </c>
      <c r="F20" s="2"/>
      <c r="G20" s="2"/>
      <c r="H20" s="2"/>
      <c r="I20" s="2"/>
      <c r="J20" s="2"/>
      <c r="K20" s="2"/>
      <c r="L20" s="2"/>
      <c r="M20" s="2"/>
      <c r="N20" s="2"/>
      <c r="O20" s="2"/>
      <c r="P20" s="2"/>
      <c r="Q20" s="2"/>
      <c r="R20" s="2"/>
      <c r="S20" s="2"/>
      <c r="T20" s="2"/>
      <c r="U20" s="2"/>
      <c r="V20" s="2"/>
      <c r="W20" s="2"/>
      <c r="X20" s="2"/>
      <c r="Y20" s="2"/>
      <c r="Z20" s="2"/>
    </row>
    <row r="21">
      <c r="A21" s="67">
        <v>2022.0</v>
      </c>
      <c r="B21" s="73"/>
      <c r="C21" s="68">
        <v>12720.0</v>
      </c>
      <c r="D21" s="68">
        <v>3389.0</v>
      </c>
      <c r="E21" s="69">
        <v>2686.0</v>
      </c>
      <c r="F21" s="2"/>
      <c r="G21" s="2"/>
      <c r="H21" s="2"/>
      <c r="I21" s="2"/>
      <c r="J21" s="2"/>
      <c r="K21" s="2"/>
      <c r="L21" s="2"/>
      <c r="M21" s="2"/>
      <c r="N21" s="2"/>
      <c r="O21" s="2"/>
      <c r="P21" s="2"/>
      <c r="Q21" s="2"/>
      <c r="R21" s="2"/>
      <c r="S21" s="2"/>
      <c r="T21" s="2"/>
      <c r="U21" s="2"/>
      <c r="V21" s="2"/>
      <c r="W21" s="2"/>
      <c r="X21" s="2"/>
      <c r="Y21" s="2"/>
      <c r="Z21" s="2"/>
    </row>
    <row r="22">
      <c r="A22" s="67">
        <v>2023.0</v>
      </c>
      <c r="B22" s="73"/>
      <c r="C22" s="73"/>
      <c r="D22" s="68">
        <v>15166.0</v>
      </c>
      <c r="E22" s="69">
        <v>3799.0</v>
      </c>
      <c r="F22" s="2"/>
      <c r="G22" s="2"/>
      <c r="H22" s="2"/>
      <c r="I22" s="2"/>
      <c r="J22" s="2"/>
      <c r="K22" s="2"/>
      <c r="L22" s="2"/>
      <c r="M22" s="2"/>
      <c r="N22" s="2"/>
      <c r="O22" s="2"/>
      <c r="P22" s="2"/>
      <c r="Q22" s="2"/>
      <c r="R22" s="2"/>
      <c r="S22" s="2"/>
      <c r="T22" s="2"/>
      <c r="U22" s="2"/>
      <c r="V22" s="2"/>
      <c r="W22" s="2"/>
      <c r="X22" s="2"/>
      <c r="Y22" s="2"/>
      <c r="Z22" s="2"/>
    </row>
    <row r="23">
      <c r="A23" s="67">
        <v>2024.0</v>
      </c>
      <c r="B23" s="73"/>
      <c r="C23" s="73"/>
      <c r="D23" s="73"/>
      <c r="E23" s="69">
        <v>18316.0</v>
      </c>
      <c r="F23" s="2"/>
      <c r="G23" s="2"/>
      <c r="H23" s="2"/>
      <c r="I23" s="2"/>
      <c r="J23" s="2"/>
      <c r="K23" s="2"/>
      <c r="L23" s="2"/>
      <c r="M23" s="2"/>
      <c r="N23" s="2"/>
      <c r="O23" s="2"/>
      <c r="P23" s="2"/>
      <c r="Q23" s="2"/>
      <c r="R23" s="2"/>
      <c r="S23" s="2"/>
      <c r="T23" s="2"/>
      <c r="U23" s="2"/>
      <c r="V23" s="2"/>
      <c r="W23" s="2"/>
      <c r="X23" s="2"/>
      <c r="Y23" s="2"/>
      <c r="Z23" s="2"/>
    </row>
    <row r="24">
      <c r="A24" s="64"/>
      <c r="B24" s="70"/>
      <c r="C24" s="70"/>
      <c r="D24" s="70"/>
      <c r="E24" s="71"/>
      <c r="F24" s="2"/>
      <c r="G24" s="2"/>
      <c r="H24" s="2"/>
      <c r="I24" s="2"/>
      <c r="J24" s="2"/>
      <c r="K24" s="2"/>
      <c r="L24" s="2"/>
      <c r="M24" s="2"/>
      <c r="N24" s="2"/>
      <c r="O24" s="2"/>
      <c r="P24" s="2"/>
      <c r="Q24" s="2"/>
      <c r="R24" s="2"/>
      <c r="S24" s="2"/>
      <c r="T24" s="2"/>
      <c r="U24" s="2"/>
      <c r="V24" s="2"/>
      <c r="W24" s="2"/>
      <c r="X24" s="2"/>
      <c r="Y24" s="2"/>
      <c r="Z24" s="2"/>
    </row>
    <row r="25">
      <c r="A25" s="72" t="s">
        <v>2</v>
      </c>
      <c r="B25" s="70"/>
      <c r="C25" s="70"/>
      <c r="D25" s="70"/>
      <c r="E25" s="71"/>
      <c r="F25" s="2"/>
      <c r="G25" s="2"/>
      <c r="H25" s="2"/>
      <c r="I25" s="2"/>
      <c r="J25" s="2"/>
      <c r="K25" s="2"/>
      <c r="L25" s="2"/>
      <c r="M25" s="2"/>
      <c r="N25" s="2"/>
      <c r="O25" s="2"/>
      <c r="P25" s="2"/>
      <c r="Q25" s="2"/>
      <c r="R25" s="2"/>
      <c r="S25" s="2"/>
      <c r="T25" s="2"/>
      <c r="U25" s="2"/>
      <c r="V25" s="2"/>
      <c r="W25" s="2"/>
      <c r="X25" s="2"/>
      <c r="Y25" s="2"/>
      <c r="Z25" s="2"/>
    </row>
    <row r="26">
      <c r="A26" s="64"/>
      <c r="B26" s="65">
        <v>2021.0</v>
      </c>
      <c r="C26" s="65">
        <v>2022.0</v>
      </c>
      <c r="D26" s="65">
        <v>2023.0</v>
      </c>
      <c r="E26" s="66">
        <v>2024.0</v>
      </c>
      <c r="F26" s="2"/>
      <c r="G26" s="2"/>
      <c r="H26" s="2"/>
      <c r="I26" s="2"/>
      <c r="J26" s="2"/>
      <c r="K26" s="2"/>
      <c r="L26" s="2"/>
      <c r="M26" s="2"/>
      <c r="N26" s="2"/>
      <c r="O26" s="2"/>
      <c r="P26" s="2"/>
      <c r="Q26" s="2"/>
      <c r="R26" s="2"/>
      <c r="S26" s="2"/>
      <c r="T26" s="2"/>
      <c r="U26" s="2"/>
      <c r="V26" s="2"/>
      <c r="W26" s="2"/>
      <c r="X26" s="2"/>
      <c r="Y26" s="2"/>
      <c r="Z26" s="2"/>
    </row>
    <row r="27">
      <c r="A27" s="67" t="s">
        <v>56</v>
      </c>
      <c r="B27" s="68">
        <v>13739.0</v>
      </c>
      <c r="C27" s="68">
        <v>11475.0</v>
      </c>
      <c r="D27" s="68">
        <v>11331.0</v>
      </c>
      <c r="E27" s="69">
        <v>10581.0</v>
      </c>
      <c r="F27" s="2"/>
      <c r="G27" s="2"/>
      <c r="H27" s="2"/>
      <c r="I27" s="2"/>
      <c r="J27" s="2"/>
      <c r="K27" s="2"/>
      <c r="L27" s="2"/>
      <c r="M27" s="2"/>
      <c r="N27" s="2"/>
      <c r="O27" s="2"/>
      <c r="P27" s="2"/>
      <c r="Q27" s="2"/>
      <c r="R27" s="2"/>
      <c r="S27" s="2"/>
      <c r="T27" s="2"/>
      <c r="U27" s="2"/>
      <c r="V27" s="2"/>
      <c r="W27" s="2"/>
      <c r="X27" s="2"/>
      <c r="Y27" s="2"/>
      <c r="Z27" s="2"/>
    </row>
    <row r="28">
      <c r="A28" s="67">
        <v>2021.0</v>
      </c>
      <c r="B28" s="68">
        <v>22911.0</v>
      </c>
      <c r="C28" s="68">
        <v>10035.0</v>
      </c>
      <c r="D28" s="68">
        <v>9346.0</v>
      </c>
      <c r="E28" s="69">
        <v>8197.0</v>
      </c>
      <c r="F28" s="2"/>
      <c r="G28" s="2"/>
      <c r="H28" s="2"/>
      <c r="I28" s="2"/>
      <c r="J28" s="2"/>
      <c r="K28" s="2"/>
      <c r="L28" s="2"/>
      <c r="M28" s="2"/>
      <c r="N28" s="2"/>
      <c r="O28" s="2"/>
      <c r="P28" s="2"/>
      <c r="Q28" s="2"/>
      <c r="R28" s="2"/>
      <c r="S28" s="2"/>
      <c r="T28" s="2"/>
      <c r="U28" s="2"/>
      <c r="V28" s="2"/>
      <c r="W28" s="2"/>
      <c r="X28" s="2"/>
      <c r="Y28" s="2"/>
      <c r="Z28" s="2"/>
    </row>
    <row r="29">
      <c r="A29" s="67">
        <v>2022.0</v>
      </c>
      <c r="B29" s="73"/>
      <c r="C29" s="68">
        <v>18640.0</v>
      </c>
      <c r="D29" s="68">
        <v>7992.0</v>
      </c>
      <c r="E29" s="69">
        <v>6336.0</v>
      </c>
      <c r="F29" s="2"/>
      <c r="G29" s="2"/>
      <c r="H29" s="2"/>
      <c r="I29" s="2"/>
      <c r="J29" s="2"/>
      <c r="K29" s="2"/>
      <c r="L29" s="2"/>
      <c r="M29" s="2"/>
      <c r="N29" s="2"/>
      <c r="O29" s="2"/>
      <c r="P29" s="2"/>
      <c r="Q29" s="2"/>
      <c r="R29" s="2"/>
      <c r="S29" s="2"/>
      <c r="T29" s="2"/>
      <c r="U29" s="2"/>
      <c r="V29" s="2"/>
      <c r="W29" s="2"/>
      <c r="X29" s="2"/>
      <c r="Y29" s="2"/>
      <c r="Z29" s="2"/>
    </row>
    <row r="30">
      <c r="A30" s="67">
        <v>2023.0</v>
      </c>
      <c r="B30" s="73"/>
      <c r="C30" s="73"/>
      <c r="D30" s="68">
        <v>22735.0</v>
      </c>
      <c r="E30" s="69">
        <v>9002.0</v>
      </c>
      <c r="F30" s="2"/>
      <c r="G30" s="2"/>
      <c r="H30" s="2"/>
      <c r="I30" s="2"/>
      <c r="J30" s="2"/>
      <c r="K30" s="2"/>
      <c r="L30" s="2"/>
      <c r="M30" s="2"/>
      <c r="N30" s="2"/>
      <c r="O30" s="2"/>
      <c r="P30" s="2"/>
      <c r="Q30" s="2"/>
      <c r="R30" s="2"/>
      <c r="S30" s="2"/>
      <c r="T30" s="2"/>
      <c r="U30" s="2"/>
      <c r="V30" s="2"/>
      <c r="W30" s="2"/>
      <c r="X30" s="2"/>
      <c r="Y30" s="2"/>
      <c r="Z30" s="2"/>
    </row>
    <row r="31">
      <c r="A31" s="74">
        <v>2024.0</v>
      </c>
      <c r="B31" s="75"/>
      <c r="C31" s="75"/>
      <c r="D31" s="75"/>
      <c r="E31" s="76">
        <v>27144.0</v>
      </c>
      <c r="F31" s="2"/>
      <c r="G31" s="2"/>
      <c r="H31" s="2"/>
      <c r="I31" s="2"/>
      <c r="J31" s="2"/>
      <c r="K31" s="2"/>
      <c r="L31" s="2"/>
      <c r="M31" s="2"/>
      <c r="N31" s="2"/>
      <c r="O31" s="2"/>
      <c r="P31" s="2"/>
      <c r="Q31" s="2"/>
      <c r="R31" s="2"/>
      <c r="S31" s="2"/>
      <c r="T31" s="2"/>
      <c r="U31" s="2"/>
      <c r="V31" s="2"/>
      <c r="W31" s="2"/>
      <c r="X31" s="2"/>
      <c r="Y31" s="2"/>
      <c r="Z31" s="2"/>
    </row>
    <row r="32">
      <c r="A32" s="77" t="s">
        <v>57</v>
      </c>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drawing r:id="rId1"/>
</worksheet>
</file>